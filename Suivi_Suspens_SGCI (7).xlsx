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ONFIG" sheetId="1" state="hidden" r:id="rId3"/>
    <sheet name="🏠 Accueil" sheetId="2" state="visible" r:id="rId4"/>
    <sheet name="📥 Donnees Access" sheetId="3" state="visible" r:id="rId5"/>
    <sheet name="📋 Suspens" sheetId="4" state="visible" r:id="rId6"/>
    <sheet name="📊 Statistiques" sheetId="5" state="visible" r:id="rId7"/>
    <sheet name="📈 Graphiques" sheetId="6" state="visible" r:id="rId8"/>
    <sheet name="📅 Mensuel" sheetId="7" state="visible" r:id="rId9"/>
    <sheet name="⚙️ Parametres" sheetId="8" state="visible" r:id="rId10"/>
    <sheet name="📌 VBA Setu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<sst xmlns="http://schemas.openxmlformats.org/spreadsheetml/2006/main" count="441" uniqueCount="371">
  <si>
    <t xml:space="preserve">Chemin Access</t>
  </si>
  <si>
    <t xml:space="preserve">S:\DRR_NOTIFICATION_DE_CREDIT\DEAL FLOW\OUTIL_DEAL_FLOW.accbd</t>
  </si>
  <si>
    <t xml:space="preserve">Feuille mise a jour</t>
  </si>
  <si>
    <t xml:space="preserve">Derniere connexion</t>
  </si>
  <si>
    <t xml:space="preserve">Statut</t>
  </si>
  <si>
    <t xml:space="preserve">Non connecte</t>
  </si>
  <si>
    <t xml:space="preserve">SUIVI DES SUSPENS  |  SGCI / DRC</t>
  </si>
  <si>
    <t xml:space="preserve">Connecte a la base Access  |  Actualisation automatique</t>
  </si>
  <si>
    <t xml:space="preserve">&gt;&gt;  ACTUALISER DEPUIS ACCESS  &lt;&lt;</t>
  </si>
  <si>
    <t xml:space="preserve">INDICATEURS CLES  (mis a jour automatiquement)</t>
  </si>
  <si>
    <t xml:space="preserve">Dossiers en suspens (Access)</t>
  </si>
  <si>
    <t xml:space="preserve">Clotures ce mois</t>
  </si>
  <si>
    <t xml:space="preserve">En cours depuis plus de 30 jours</t>
  </si>
  <si>
    <t xml:space="preserve">Nouveaux ce mois</t>
  </si>
  <si>
    <t xml:space="preserve">Duree moyenne en cours (jours)</t>
  </si>
  <si>
    <t xml:space="preserve">Total dossiers importes depuis Access</t>
  </si>
  <si>
    <t xml:space="preserve">DONNEES IMPORTEES DEPUIS ACCESS  |  Table [data base]  -  En suspens uniquement</t>
  </si>
  <si>
    <t xml:space="preserve">IDSG</t>
  </si>
  <si>
    <t xml:space="preserve">RCT</t>
  </si>
  <si>
    <t xml:space="preserve">CLIENT</t>
  </si>
  <si>
    <t xml:space="preserve">ETAT</t>
  </si>
  <si>
    <t xml:space="preserve">ANALYSTE</t>
  </si>
  <si>
    <t xml:space="preserve">DEMANDE</t>
  </si>
  <si>
    <t xml:space="preserve">DATE DE RECEPTION</t>
  </si>
  <si>
    <t xml:space="preserve">DATE D ATTRIBUTION</t>
  </si>
  <si>
    <t xml:space="preserve">DATE DE PRISE EN CHARGE</t>
  </si>
  <si>
    <t xml:space="preserve">DATE D ENVOIE AU SIGNATAIRE</t>
  </si>
  <si>
    <t xml:space="preserve">SIGNATAIRE</t>
  </si>
  <si>
    <t xml:space="preserve">DATE DE SIGNATURE</t>
  </si>
  <si>
    <t xml:space="preserve">ENVOIE MARCHE 1</t>
  </si>
  <si>
    <t xml:space="preserve">RETOUR MARCHE 1</t>
  </si>
  <si>
    <t xml:space="preserve">ENVOIE MARCHE 2</t>
  </si>
  <si>
    <t xml:space="preserve">RETOUR MARCHE 2</t>
  </si>
  <si>
    <t xml:space="preserve">SECTEUR</t>
  </si>
  <si>
    <t xml:space="preserve">NOTE</t>
  </si>
  <si>
    <t xml:space="preserve">LAD</t>
  </si>
  <si>
    <t xml:space="preserve">MXOF</t>
  </si>
  <si>
    <t xml:space="preserve">DECISION</t>
  </si>
  <si>
    <t xml:space="preserve">DELAI ANALYSTE</t>
  </si>
  <si>
    <t xml:space="preserve">DELAI TOTAL</t>
  </si>
  <si>
    <t xml:space="preserve">  Cliquer sur le bouton ACTUALISER dans l'onglet Accueil pour importer les donnees Access</t>
  </si>
  <si>
    <t xml:space="preserve">SUIVI DES SUSPENS  |  SGCI  (alimente depuis Access)</t>
  </si>
  <si>
    <t xml:space="preserve">N°</t>
  </si>
  <si>
    <t xml:space="preserve">IDSG
(Access)</t>
  </si>
  <si>
    <t xml:space="preserve">ANALYSTE
(Access)</t>
  </si>
  <si>
    <t xml:space="preserve">ETAT
(Access)</t>
  </si>
  <si>
    <t xml:space="preserve">DATE
RECEPTION</t>
  </si>
  <si>
    <t xml:space="preserve">STATUT
SUIVI</t>
  </si>
  <si>
    <t xml:space="preserve">DUREE
(jours)</t>
  </si>
  <si>
    <t xml:space="preserve">RAISON
PRINCIPALE</t>
  </si>
  <si>
    <t xml:space="preserve">RAISON 2</t>
  </si>
  <si>
    <t xml:space="preserve">RAISON 3</t>
  </si>
  <si>
    <t xml:space="preserve">COMMENTAIRES DRC</t>
  </si>
  <si>
    <t xml:space="preserve">DEMANDE
(Access)</t>
  </si>
  <si>
    <t xml:space="preserve">MOIS</t>
  </si>
  <si>
    <t xml:space="preserve">ANNEE</t>
  </si>
  <si>
    <t xml:space="preserve">STATISTIQUES DES SUSPENS  |  SGCI</t>
  </si>
  <si>
    <t xml:space="preserve">SUSPENS PAR RAISON</t>
  </si>
  <si>
    <t xml:space="preserve">RAISON DU SUSPENS</t>
  </si>
  <si>
    <t xml:space="preserve">TOTAL</t>
  </si>
  <si>
    <t xml:space="preserve">EN COURS</t>
  </si>
  <si>
    <t xml:space="preserve">CLOTURE</t>
  </si>
  <si>
    <t xml:space="preserve">EN ATTENTE</t>
  </si>
  <si>
    <t xml:space="preserve">DUREE MOY (j)</t>
  </si>
  <si>
    <t xml:space="preserve">% DU TOTAL</t>
  </si>
  <si>
    <t xml:space="preserve">Absence de CREDAPP</t>
  </si>
  <si>
    <t xml:space="preserve">Absence de notice financiere</t>
  </si>
  <si>
    <t xml:space="preserve">Absence de page de signature</t>
  </si>
  <si>
    <t xml:space="preserve">Absence de rapport CAC ou derogation CRO</t>
  </si>
  <si>
    <t xml:space="preserve">Absence de fiche KYC</t>
  </si>
  <si>
    <t xml:space="preserve">Absence des fiches RBO</t>
  </si>
  <si>
    <t xml:space="preserve">Absence de la fiche CLEO</t>
  </si>
  <si>
    <t xml:space="preserve">Absence de la GL du PCRU</t>
  </si>
  <si>
    <t xml:space="preserve">Absence de projet de note NOVA</t>
  </si>
  <si>
    <t xml:space="preserve">Absence de la fiche RSE</t>
  </si>
  <si>
    <t xml:space="preserve">Absence de quitus fiscal</t>
  </si>
  <si>
    <t xml:space="preserve">Absence de fiche BIC</t>
  </si>
  <si>
    <t xml:space="preserve">Absence de mail de formalisation de garanties</t>
  </si>
  <si>
    <t xml:space="preserve">Absence de chiffres intermediaires</t>
  </si>
  <si>
    <t xml:space="preserve">Absence de plan de tresorerie</t>
  </si>
  <si>
    <t xml:space="preserve">Absence de PV de continuite</t>
  </si>
  <si>
    <t xml:space="preserve">Absence de visibilite groupe</t>
  </si>
  <si>
    <t xml:space="preserve">Renseignement incomplet CREDAPP</t>
  </si>
  <si>
    <t xml:space="preserve">Incoherence liasse fiscale / NF</t>
  </si>
  <si>
    <t xml:space="preserve">Variations EF non commentees</t>
  </si>
  <si>
    <t xml:space="preserve">Absence visibilite maison mere</t>
  </si>
  <si>
    <t xml:space="preserve">Absence d explication sur les lignes</t>
  </si>
  <si>
    <t xml:space="preserve">Absence de commentaires reserves</t>
  </si>
  <si>
    <t xml:space="preserve">Absence hypotheses cash-flow</t>
  </si>
  <si>
    <t xml:space="preserve">Tableau projections cash-flow absent</t>
  </si>
  <si>
    <t xml:space="preserve">Non transmission contrats marches</t>
  </si>
  <si>
    <t xml:space="preserve">Autre</t>
  </si>
  <si>
    <t xml:space="preserve">SUSPENS PAR ANALYSTE</t>
  </si>
  <si>
    <t xml:space="preserve">DOSSIERS &gt; 30j</t>
  </si>
  <si>
    <t xml:space="preserve">* Liste des analystes mise a jour automatiquement depuis Access a chaque actualisation</t>
  </si>
  <si>
    <t xml:space="preserve">TABLEAU DE BORD GRAPHIQUE  |  SGCI</t>
  </si>
  <si>
    <t xml:space="preserve">SUSPENS PAR RAISON  (Top 10 par volume)</t>
  </si>
  <si>
    <t xml:space="preserve">REPARTITION PAR STATUT</t>
  </si>
  <si>
    <t xml:space="preserve">SUSPENS EN COURS PAR ANALYSTE</t>
  </si>
  <si>
    <t xml:space="preserve">EVOLUTION MENSUELLE DES SUSPENS</t>
  </si>
  <si>
    <t xml:space="preserve">RAISON (Top 10)</t>
  </si>
  <si>
    <t xml:space="preserve">NB</t>
  </si>
  <si>
    <t xml:space="preserve">STATUT</t>
  </si>
  <si>
    <t xml:space="preserve">En cours</t>
  </si>
  <si>
    <t xml:space="preserve">Cloture</t>
  </si>
  <si>
    <t xml:space="preserve">En attente</t>
  </si>
  <si>
    <t xml:space="preserve">SUIVI MENSUEL DES SUSPENS  |  SGCI  (2026)</t>
  </si>
  <si>
    <t xml:space="preserve">INDICATEUR</t>
  </si>
  <si>
    <t xml:space="preserve">January 2026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</si>
  <si>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</si>
  <si>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</si>
  <si>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</si>
  <si>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</si>
  <si>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</si>
  <si>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</si>
  <si>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</si>
  <si>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</si>
  <si>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</si>
  <si>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</si>
  <si>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</si>
  <si>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Nouveaux suspens recus</t>
  </si>
  <si>
    <t xml:space="preserve">Suspens clotures</t>
  </si>
  <si>
    <t xml:space="preserve">Duree moy. clotures (j)</t>
  </si>
  <si>
    <t xml:space="preserve">Suspens &gt; 30j en cours</t>
  </si>
  <si>
    <t xml:space="preserve">NOUVEAUX SUSPENS PAR ANALYSTE ET PAR MOIS</t>
  </si>
  <si>
    <t xml:space="preserve">PARAMETRES  |  SGCI</t>
  </si>
  <si>
    <t xml:space="preserve">RAISONS DE SUSPENS (modifiables)</t>
  </si>
  <si>
    <t xml:space="preserve">ANALYSTES (mis a jour depuis Access)</t>
  </si>
  <si>
    <t xml:space="preserve">CHEMIN ACCESS</t>
  </si>
  <si>
    <t xml:space="preserve">Pour modifier : aller dans CONFIG &gt; cellule B1</t>
  </si>
  <si>
    <t xml:space="preserve">-&gt; Mis a jour automatiquement a chaque actualisation Access</t>
  </si>
  <si>
    <t xml:space="preserve">INSTALLATION VBA  |  A FAIRE UNE SEULE FOIS</t>
  </si>
  <si>
    <t xml:space="preserve">1</t>
  </si>
  <si>
    <t xml:space="preserve">Sauvegarder ce fichier en .xlsm : Fichier &gt; Enregistrer sous &gt; Excel avec macros (.xlsm)</t>
  </si>
  <si>
    <t xml:space="preserve">2</t>
  </si>
  <si>
    <t xml:space="preserve">Ouvrir l'editeur VBA : Alt + F11</t>
  </si>
  <si>
    <t xml:space="preserve">3</t>
  </si>
  <si>
    <t xml:space="preserve">Dans le menu : Insertion &gt; Module  (un nouveau module vide s'ouvre)</t>
  </si>
  <si>
    <t xml:space="preserve">4</t>
  </si>
  <si>
    <t xml:space="preserve">Selectionner TOUT le code ci-dessous (a partir de 'Option Explicit') et le coller dans le module</t>
  </si>
  <si>
    <t xml:space="preserve">5</t>
  </si>
  <si>
    <t xml:space="preserve">Fermer l'editeur VBA (Alt+F4)</t>
  </si>
  <si>
    <t xml:space="preserve">6</t>
  </si>
  <si>
    <t xml:space="preserve">Dans la feuille Accueil : faire un clic droit sur la cellule verte 'ACTUALISER' &gt; Affecter une macro &gt; ActualiserDepuisAccess</t>
  </si>
  <si>
    <t xml:space="preserve">7</t>
  </si>
  <si>
    <t xml:space="preserve">Aller dans CONFIG (feuille cachee) ou Parametres &gt; modifier le chemin Access en cellule B1 / E3</t>
  </si>
  <si>
    <t xml:space="preserve">8</t>
  </si>
  <si>
    <t xml:space="preserve">Cliquer sur ACTUALISER pour tester la connexion</t>
  </si>
  <si>
    <t xml:space="preserve">CODE VBA A COPIER INTEGRALEMENT DANS LE MODULE  (commencer a 'Option Explicit')</t>
  </si>
  <si>
    <t xml:space="preserve">Option Explicit</t>
  </si>
  <si>
    <t xml:space="preserve">' ================================================================</t>
  </si>
  <si>
    <t xml:space="preserve">' SUIVI DES SUSPENS - SGCI</t>
  </si>
  <si>
    <t xml:space="preserve">' Connexion automatique a la base Access via ADODB</t>
  </si>
  <si>
    <t xml:space="preserve">' Feuilles referencees par index pour eviter les problemes d encodage</t>
  </si>
  <si>
    <t xml:space="preserve">'   Index 1 = CONFIG</t>
  </si>
  <si>
    <t xml:space="preserve">'   Index 2 = Accueil</t>
  </si>
  <si>
    <t xml:space="preserve">'   Index 3 = Donnees Access</t>
  </si>
  <si>
    <t xml:space="preserve">'   Index 4 = Suspens</t>
  </si>
  <si>
    <t xml:space="preserve">'   Index 5 = Statistiques</t>
  </si>
  <si>
    <t xml:space="preserve">'   Index 6 = Graphiques</t>
  </si>
  <si>
    <t xml:space="preserve">'   Index 7 = Mensuel</t>
  </si>
  <si>
    <t xml:space="preserve">'   Index 8 = Parametres</t>
  </si>
  <si>
    <t xml:space="preserve">'   Index 9 = VBA Setup</t>
  </si>
  <si>
    <t xml:space="preserve">Sub ActualiserDepuisAccess()</t>
  </si>
  <si>
    <t xml:space="preserve">    Dim sPath    As String</t>
  </si>
  <si>
    <t xml:space="preserve">    Dim conn     As Object</t>
  </si>
  <si>
    <t xml:space="preserve">    Dim rs       As Object</t>
  </si>
  <si>
    <t xml:space="preserve">    Dim rsAn     As Object</t>
  </si>
  <si>
    <t xml:space="preserve">    Dim wsDat    As Worksheet</t>
  </si>
  <si>
    <t xml:space="preserve">    Dim wsSus    As Worksheet</t>
  </si>
  <si>
    <t xml:space="preserve">    Dim wsCfg    As Worksheet</t>
  </si>
  <si>
    <t xml:space="preserve">    Dim wsPrm    As Worksheet</t>
  </si>
  <si>
    <t xml:space="preserve">    Dim i        As Long</t>
  </si>
  <si>
    <t xml:space="preserve">    Dim lastRow  As Long</t>
  </si>
  <si>
    <t xml:space="preserve">    Application.ScreenUpdating = False</t>
  </si>
  <si>
    <t xml:space="preserve">    Application.Calculation = xlCalculationManual</t>
  </si>
  <si>
    <t xml:space="preserve">    On Error GoTo ErrHandler</t>
  </si>
  <si>
    <t xml:space="preserve">    ' -- Raccourcis feuilles par index --</t>
  </si>
  <si>
    <t xml:space="preserve">    Set wsCfg = ThisWorkbook.Sheets(1)   ' CONFIG</t>
  </si>
  <si>
    <t xml:space="preserve">    Set wsDat = ThisWorkbook.Sheets(3)   ' Donnees Access</t>
  </si>
  <si>
    <t xml:space="preserve">    Set wsSus = ThisWorkbook.Sheets(4)   ' Suspens</t>
  </si>
  <si>
    <t xml:space="preserve">    Set wsPrm = ThisWorkbook.Sheets(8)   ' Parametres</t>
  </si>
  <si>
    <t xml:space="preserve">    ' -- 1. Chemin Access --</t>
  </si>
  <si>
    <t xml:space="preserve">    sPath = Trim(wsCfg.Range("B1").Value)</t>
  </si>
  <si>
    <t xml:space="preserve">    If sPath = "" Then</t>
  </si>
  <si>
    <t xml:space="preserve">        MsgBox "Le chemin du fichier Access n est pas renseigne." &amp; vbCrLf &amp; _</t>
  </si>
  <si>
    <t xml:space="preserve">               "Modifiez la feuille CONFIG &gt; cellule B1.", _</t>
  </si>
  <si>
    <t xml:space="preserve">               vbExclamation, "Chemin manquant"</t>
  </si>
  <si>
    <t xml:space="preserve">        GoTo Cleanup</t>
  </si>
  <si>
    <t xml:space="preserve">    End If</t>
  </si>
  <si>
    <t xml:space="preserve">    If Dir(sPath) = "" Then</t>
  </si>
  <si>
    <t xml:space="preserve">        MsgBox "Fichier Access introuvable :" &amp; vbCrLf &amp; sPath &amp; vbCrLf &amp; vbCrLf &amp; _</t>
  </si>
  <si>
    <t xml:space="preserve">               "Verifiez que le partage reseau est accessible.", _</t>
  </si>
  <si>
    <t xml:space="preserve">               vbCritical, "Fichier non trouve"</t>
  </si>
  <si>
    <t xml:space="preserve">    ' -- 2. Connexion ADODB --</t>
  </si>
  <si>
    <t xml:space="preserve">    Set conn = CreateObject("ADODB.Connection")</t>
  </si>
  <si>
    <t xml:space="preserve">    conn.Open "Provider=Microsoft.ACE.OLEDB.12.0;Data Source=" &amp; sPath &amp; ";Persist Security Info=False;"</t>
  </si>
  <si>
    <t xml:space="preserve">    ' -- 3. Analystes distincts depuis Access -&gt; Parametres col C --</t>
  </si>
  <si>
    <t xml:space="preserve">    Dim lastAnRow As Long</t>
  </si>
  <si>
    <t xml:space="preserve">    lastAnRow = wsPrm.Cells(wsPrm.Rows.Count, 3).End(xlUp).Row</t>
  </si>
  <si>
    <t xml:space="preserve">    If lastAnRow &gt;= 2 Then wsPrm.Range("C2:C" &amp; lastAnRow).ClearContents</t>
  </si>
  <si>
    <t xml:space="preserve">    Dim sqlAn As String</t>
  </si>
  <si>
    <t xml:space="preserve">    sqlAn = "SELECT DISTINCT [ANALYSTE] FROM [DATABASE] " &amp; _</t>
  </si>
  <si>
    <t xml:space="preserve">            "WHERE [ANALYSTE] IS NOT NULL AND [ANALYSTE] &lt;&gt; '' " &amp; _</t>
  </si>
  <si>
    <t xml:space="preserve">            "ORDER BY [ANALYSTE]"</t>
  </si>
  <si>
    <t xml:space="preserve">    Set rsAn = CreateObject("ADODB.Recordset")</t>
  </si>
  <si>
    <t xml:space="preserve">    rsAn.Open sqlAn, conn, 1, 3</t>
  </si>
  <si>
    <t xml:space="preserve">    Dim anRow As Long</t>
  </si>
  <si>
    <t xml:space="preserve">    anRow = 2</t>
  </si>
  <si>
    <t xml:space="preserve">    Do While Not rsAn.EOF</t>
  </si>
  <si>
    <t xml:space="preserve">        Dim anName As String</t>
  </si>
  <si>
    <t xml:space="preserve">        anName = Trim(CStr(rsAn.Fields(0).Value))</t>
  </si>
  <si>
    <t xml:space="preserve">        If anName &lt;&gt; "" Then</t>
  </si>
  <si>
    <t xml:space="preserve">            wsPrm.Cells(anRow, 3).Value = anName</t>
  </si>
  <si>
    <t xml:space="preserve">            wsPrm.Cells(anRow, 3).Font.Name = "Arial"</t>
  </si>
  <si>
    <t xml:space="preserve">            wsPrm.Cells(anRow, 3).Font.Size = 10</t>
  </si>
  <si>
    <t xml:space="preserve">            If anRow Mod 2 = 0 Then</t>
  </si>
  <si>
    <t xml:space="preserve">                wsPrm.Cells(anRow, 3).Interior.Color = RGB(245, 247, 250)</t>
  </si>
  <si>
    <t xml:space="preserve">            Else</t>
  </si>
  <si>
    <t xml:space="preserve">                wsPrm.Cells(anRow, 3).Interior.Color = RGB(255, 255, 255)</t>
  </si>
  <si>
    <t xml:space="preserve">            End If</t>
  </si>
  <si>
    <t xml:space="preserve">            anRow = anRow + 1</t>
  </si>
  <si>
    <t xml:space="preserve">        End If</t>
  </si>
  <si>
    <t xml:space="preserve">        rsAn.MoveNext</t>
  </si>
  <si>
    <t xml:space="preserve">    Loop</t>
  </si>
  <si>
    <t xml:space="preserve">    rsAn.Close</t>
  </si>
  <si>
    <t xml:space="preserve">    Dim nbAnalystes As Long</t>
  </si>
  <si>
    <t xml:space="preserve">    nbAnalystes = anRow - 2</t>
  </si>
  <si>
    <t xml:space="preserve">    ' Recreer la validation liste deroulante col E de Suspens</t>
  </si>
  <si>
    <t xml:space="preserve">    wsSus.Range("E3:E202").Validation.Delete</t>
  </si>
  <si>
    <t xml:space="preserve">    If nbAnalystes &gt; 0 Then</t>
  </si>
  <si>
    <t xml:space="preserve">        With wsSus.Range("E3:E202").Validation</t>
  </si>
  <si>
    <t xml:space="preserve">            .Add Type:=3, AlertStyle:=1, Operator:=1, _</t>
  </si>
  <si>
    <t xml:space="preserve">                 Formula1:="=Parametres!$C$2:$C$" &amp; (anRow - 1)</t>
  </si>
  <si>
    <t xml:space="preserve">            .IgnoreBlank = True</t>
  </si>
  <si>
    <t xml:space="preserve">            .InCellDropdown = True</t>
  </si>
  <si>
    <t xml:space="preserve">            .ShowInput = False</t>
  </si>
  <si>
    <t xml:space="preserve">            .ShowError = False</t>
  </si>
  <si>
    <t xml:space="preserve">        End With</t>
  </si>
  <si>
    <t xml:space="preserve">    ' -- 4. Requete principale : dossiers En suspens --</t>
  </si>
  <si>
    <t xml:space="preserve">    Dim sql As String</t>
  </si>
  <si>
    <t xml:space="preserve">    sql = "SELECT [IDSG],[RCT],[CLIENT],[ETAT],[ANALYSTE],[DEMANDE]," &amp; _</t>
  </si>
  <si>
    <t xml:space="preserve">          "[DATE DE RECEPTION],[DATE D'ATTRIBUTION],[DATE DE PRISE EN CHARGE]," &amp; _</t>
  </si>
  <si>
    <t xml:space="preserve">          "[DATE D'ENVOIE AU SIGNATAIRE],[SIGNATAIRE],[DATE DE SIGNATURE]," &amp; _</t>
  </si>
  <si>
    <t xml:space="preserve">          "[ENVOIE MARCHE 1],[RETOUR MARCHE 1],[ENVOIE MARCHE 2],[RETOUR MARCHE 2]," &amp; _</t>
  </si>
  <si>
    <t xml:space="preserve">          "[SECTEUR],[NOTE],[LAD],[MXOF],[DECISION],[DELAIS ANALYSTE],[DELAI TOTAL] " &amp; _</t>
  </si>
  <si>
    <t xml:space="preserve">          "FROM [DATABASE] " &amp; _</t>
  </si>
  <si>
    <t xml:space="preserve">          "WHERE [ETAT] = 'En suspens' " &amp; _</t>
  </si>
  <si>
    <t xml:space="preserve">          "ORDER BY [DATE DE RECEPTION] DESC"</t>
  </si>
  <si>
    <t xml:space="preserve">    Set rs = CreateObject("ADODB.Recordset")</t>
  </si>
  <si>
    <t xml:space="preserve">    rs.Open sql, conn, 1, 3</t>
  </si>
  <si>
    <t xml:space="preserve">    ' -- 5. Ecriture dans Donnees Access --</t>
  </si>
  <si>
    <t xml:space="preserve">    Dim lastDat As Long</t>
  </si>
  <si>
    <t xml:space="preserve">    lastDat = wsDat.Cells(wsDat.Rows.Count, 1).End(xlUp).Row</t>
  </si>
  <si>
    <t xml:space="preserve">    If lastDat &gt; 2 Then wsDat.Rows("3:" &amp; lastDat).ClearContents</t>
  </si>
  <si>
    <t xml:space="preserve">    If rs.EOF Then</t>
  </si>
  <si>
    <t xml:space="preserve">        MsgBox "Aucun dossier En suspens trouve dans la base Access.", _</t>
  </si>
  <si>
    <t xml:space="preserve">               vbInformation, "Resultat vide"</t>
  </si>
  <si>
    <t xml:space="preserve">        wsCfg.Range("B4").Value = "Aucun suspens trouve"</t>
  </si>
  <si>
    <t xml:space="preserve">    wsDat.Cells(3, 1).CopyFromRecordset rs</t>
  </si>
  <si>
    <t xml:space="preserve">    rs.Close</t>
  </si>
  <si>
    <t xml:space="preserve">    lastRow = wsDat.Cells(wsDat.Rows.Count, 1).End(xlUp).Row</t>
  </si>
  <si>
    <t xml:space="preserve">    ' Formater les dates</t>
  </si>
  <si>
    <t xml:space="preserve">    Dim dateCols As Variant</t>
  </si>
  <si>
    <t xml:space="preserve">    dateCols = Array(7, 8, 9, 10, 12, 13, 14, 15, 16)</t>
  </si>
  <si>
    <t xml:space="preserve">    Dim dc As Variant</t>
  </si>
  <si>
    <t xml:space="preserve">    For Each dc In dateCols</t>
  </si>
  <si>
    <t xml:space="preserve">        wsDat.Range(wsDat.Cells(3, dc), wsDat.Cells(lastRow, dc)).NumberFormat = "DD/MM/YYYY"</t>
  </si>
  <si>
    <t xml:space="preserve">    Next dc</t>
  </si>
  <si>
    <t xml:space="preserve">    ' Zebra striping</t>
  </si>
  <si>
    <t xml:space="preserve">    Dim r As Long</t>
  </si>
  <si>
    <t xml:space="preserve">    For r = 3 To lastRow</t>
  </si>
  <si>
    <t xml:space="preserve">        If r Mod 2 = 0 Then</t>
  </si>
  <si>
    <t xml:space="preserve">            wsDat.Rows(r).Interior.Color = RGB(245, 247, 250)</t>
  </si>
  <si>
    <t xml:space="preserve">        Else</t>
  </si>
  <si>
    <t xml:space="preserve">            wsDat.Rows(r).Interior.Color = RGB(255, 255, 255)</t>
  </si>
  <si>
    <t xml:space="preserve">        wsDat.Rows(r).RowHeight = 20</t>
  </si>
  <si>
    <t xml:space="preserve">    Next r</t>
  </si>
  <si>
    <t xml:space="preserve">    Dim totalImport As Long</t>
  </si>
  <si>
    <t xml:space="preserve">    totalImport = lastRow - 2</t>
  </si>
  <si>
    <t xml:space="preserve">    ' -- 6. Synchronisation Suspens --</t>
  </si>
  <si>
    <t xml:space="preserve">    ' Sauvegarder les enrichissements DRC existants (indexes par IDSG)</t>
  </si>
  <si>
    <t xml:space="preserve">    Dim dictStatut  As Object</t>
  </si>
  <si>
    <t xml:space="preserve">    Dim dictRaison1 As Object</t>
  </si>
  <si>
    <t xml:space="preserve">    Dim dictRaison2 As Object</t>
  </si>
  <si>
    <t xml:space="preserve">    Dim dictRaison3 As Object</t>
  </si>
  <si>
    <t xml:space="preserve">    Dim dictComment As Object</t>
  </si>
  <si>
    <t xml:space="preserve">    Set dictStatut  = CreateObject("Scripting.Dictionary")</t>
  </si>
  <si>
    <t xml:space="preserve">    Set dictRaison1 = CreateObject("Scripting.Dictionary")</t>
  </si>
  <si>
    <t xml:space="preserve">    Set dictRaison2 = CreateObject("Scripting.Dictionary")</t>
  </si>
  <si>
    <t xml:space="preserve">    Set dictRaison3 = CreateObject("Scripting.Dictionary")</t>
  </si>
  <si>
    <t xml:space="preserve">    Set dictComment = CreateObject("Scripting.Dictionary")</t>
  </si>
  <si>
    <t xml:space="preserve">    Dim susLastRow As Long</t>
  </si>
  <si>
    <t xml:space="preserve">    susLastRow = wsSus.Cells(wsSus.Rows.Count, 2).End(xlUp).Row</t>
  </si>
  <si>
    <t xml:space="preserve">    For r = 3 To susLastRow</t>
  </si>
  <si>
    <t xml:space="preserve">        Dim idsgKey As String</t>
  </si>
  <si>
    <t xml:space="preserve">        idsgKey = Trim(CStr(wsSus.Cells(r, 2).Value))</t>
  </si>
  <si>
    <t xml:space="preserve">        If idsgKey &lt;&gt; "" Then</t>
  </si>
  <si>
    <t xml:space="preserve">            dictStatut(idsgKey)  = wsSus.Cells(r, 8).Value</t>
  </si>
  <si>
    <t xml:space="preserve">            dictRaison1(idsgKey) = wsSus.Cells(r, 10).Value</t>
  </si>
  <si>
    <t xml:space="preserve">            dictRaison2(idsgKey) = wsSus.Cells(r, 11).Value</t>
  </si>
  <si>
    <t xml:space="preserve">            dictRaison3(idsgKey) = wsSus.Cells(r, 12).Value</t>
  </si>
  <si>
    <t xml:space="preserve">            dictComment(idsgKey) = wsSus.Cells(r, 13).Value</t>
  </si>
  <si>
    <t xml:space="preserve">    ' Effacer et reecrire</t>
  </si>
  <si>
    <t xml:space="preserve">    Dim clearTo As Long</t>
  </si>
  <si>
    <t xml:space="preserve">    clearTo = Application.Max(susLastRow, totalImport + 2)</t>
  </si>
  <si>
    <t xml:space="preserve">    If clearTo &gt;= 3 Then wsSus.Range("B3:N" &amp; clearTo).ClearContents</t>
  </si>
  <si>
    <t xml:space="preserve">    For i = 1 To totalImport</t>
  </si>
  <si>
    <t xml:space="preserve">        Dim rSus As Long</t>
  </si>
  <si>
    <t xml:space="preserve">        rSus = i + 2</t>
  </si>
  <si>
    <t xml:space="preserve">        Dim sIDSG As String</t>
  </si>
  <si>
    <t xml:space="preserve">        sIDSG = Trim(CStr(wsDat.Cells(i + 2, 1).Value))</t>
  </si>
  <si>
    <t xml:space="preserve">        wsSus.Cells(rSus, 2).Value  = sIDSG                          ' IDSG</t>
  </si>
  <si>
    <t xml:space="preserve">        wsSus.Cells(rSus, 3).Value  = wsDat.Cells(i + 2, 2).Value   ' RCT</t>
  </si>
  <si>
    <t xml:space="preserve">        wsSus.Cells(rSus, 4).Value  = wsDat.Cells(i + 2, 3).Value   ' CLIENT</t>
  </si>
  <si>
    <t xml:space="preserve">        wsSus.Cells(rSus, 5).Value  = wsDat.Cells(i + 2, 5).Value   ' ANALYSTE (Access)</t>
  </si>
  <si>
    <t xml:space="preserve">        wsSus.Cells(rSus, 6).Value  = wsDat.Cells(i + 2, 4).Value   ' ETAT Access</t>
  </si>
  <si>
    <t xml:space="preserve">        wsSus.Cells(rSus, 14).Value = wsDat.Cells(i + 2, 6).Value   ' DEMANDE</t>
  </si>
  <si>
    <t xml:space="preserve">        Dim dRec As Variant</t>
  </si>
  <si>
    <t xml:space="preserve">        dRec = wsDat.Cells(i + 2, 7).Value</t>
  </si>
  <si>
    <t xml:space="preserve">        If IsDate(dRec) Then</t>
  </si>
  <si>
    <t xml:space="preserve">            wsSus.Cells(rSus, 7).Value = CDate(dRec)</t>
  </si>
  <si>
    <t xml:space="preserve">            wsSus.Cells(rSus, 7).NumberFormat = "DD/MM/YYYY"</t>
  </si>
  <si>
    <t xml:space="preserve">        ' Restaurer enrichissements DRC ou initialiser</t>
  </si>
  <si>
    <t xml:space="preserve">        If dictStatut.Exists(sIDSG) Then</t>
  </si>
  <si>
    <t xml:space="preserve">            wsSus.Cells(rSus, 8).Value  = dictStatut(sIDSG)</t>
  </si>
  <si>
    <t xml:space="preserve">            wsSus.Cells(rSus, 10).Value = dictRaison1(sIDSG)</t>
  </si>
  <si>
    <t xml:space="preserve">            wsSus.Cells(rSus, 11).Value = dictRaison2(sIDSG)</t>
  </si>
  <si>
    <t xml:space="preserve">            wsSus.Cells(rSus, 12).Value = dictRaison3(sIDSG)</t>
  </si>
  <si>
    <t xml:space="preserve">            wsSus.Cells(rSus, 13).Value = dictComment(sIDSG)</t>
  </si>
  <si>
    <t xml:space="preserve">            wsSus.Cells(rSus, 8).Value = "En cours"</t>
  </si>
  <si>
    <t xml:space="preserve">    Next i</t>
  </si>
  <si>
    <t xml:space="preserve">    ' -- 7. MAJ CONFIG --</t>
  </si>
  <si>
    <t xml:space="preserve">    wsCfg.Range("B3").Value = Now()</t>
  </si>
  <si>
    <t xml:space="preserve">    wsCfg.Range("B4").Value = "Connecte - " &amp; totalImport &amp; " dossier(s) | " &amp; nbAnalystes &amp; " analyste(s)"</t>
  </si>
  <si>
    <t xml:space="preserve">    Application.Calculation = xlCalculationAutomatic</t>
  </si>
  <si>
    <t xml:space="preserve">    Application.ScreenUpdating = True</t>
  </si>
  <si>
    <t xml:space="preserve">    MsgBox "Actualisation terminee !" &amp; vbCrLf &amp; vbCrLf &amp; _</t>
  </si>
  <si>
    <t xml:space="preserve">           totalImport &amp; " dossier(s) En suspens importes." &amp; vbCrLf &amp; _</t>
  </si>
  <si>
    <t xml:space="preserve">           nbAnalystes &amp; " analyste(s) detectes automatiquement." &amp; vbCrLf &amp; _</t>
  </si>
  <si>
    <t xml:space="preserve">           "Raisons et commentaires conserves.", _</t>
  </si>
  <si>
    <t xml:space="preserve">           vbInformation, "Suivi Suspens SGCI"</t>
  </si>
  <si>
    <t xml:space="preserve">    Exit Sub</t>
  </si>
  <si>
    <t xml:space="preserve">ErrHandler:</t>
  </si>
  <si>
    <t xml:space="preserve">    wsCfg.Range("B4").Value = "Erreur : " &amp; Err.Description</t>
  </si>
  <si>
    <t xml:space="preserve">    MsgBox "Erreur de connexion Access :" &amp; vbCrLf &amp; vbCrLf &amp; _</t>
  </si>
  <si>
    <t xml:space="preserve">           Err.Description &amp; vbCrLf &amp; vbCrLf &amp; _</t>
  </si>
  <si>
    <t xml:space="preserve">           "Verifications :" &amp; vbCrLf &amp; _</t>
  </si>
  <si>
    <t xml:space="preserve">           "  - Le partage reseau est accessible" &amp; vbCrLf &amp; _</t>
  </si>
  <si>
    <t xml:space="preserve">           "  - Le fichier Access n est pas ouvert en mode exclusif" &amp; vbCrLf &amp; _</t>
  </si>
  <si>
    <t xml:space="preserve">           "  - Microsoft ACE OLEDB 12.0 est installe", _</t>
  </si>
  <si>
    <t xml:space="preserve">           vbCritical, "Erreur de connexion"</t>
  </si>
  <si>
    <t xml:space="preserve">Cleanup:</t>
  </si>
  <si>
    <t xml:space="preserve">    On Error Resume Next</t>
  </si>
  <si>
    <t xml:space="preserve">    If Not rsAn Is Nothing Then If rsAn.State = 1 Then rsAn.Close</t>
  </si>
  <si>
    <t xml:space="preserve">    If Not rs   Is Nothing Then If rs.State   = 1 Then rs.Close</t>
  </si>
  <si>
    <t xml:space="preserve">    If Not conn Is Nothing Then If conn.State = 1 Then conn.Close</t>
  </si>
  <si>
    <t xml:space="preserve">    Set rsAn = Nothing : Set rs = Nothing : Set conn = Nothing</t>
  </si>
  <si>
    <t xml:space="preserve">End Sub</t>
  </si>
  <si>
    <t xml:space="preserve">Sub ConfigurerCheminAccess()</t>
  </si>
  <si>
    <t xml:space="preserve">    Dim sPath As String</t>
  </si>
  <si>
    <t xml:space="preserve">    Dim wsCfg As Worksheet</t>
  </si>
  <si>
    <t xml:space="preserve">    sPath = InputBox("Entrez le chemin complet du fichier Access :" &amp; vbCrLf &amp; vbCrLf &amp; _</t>
  </si>
  <si>
    <t xml:space="preserve">                     "Exemple : \\serveur\partage\base.accdb" &amp; vbCrLf &amp; vbCrLf &amp; _</t>
  </si>
  <si>
    <t xml:space="preserve">                     "Chemin actuel : " &amp; wsCfg.Range("B1").Value, _</t>
  </si>
  <si>
    <t xml:space="preserve">                     "Configurer le chemin Access", wsCfg.Range("B1").Value)</t>
  </si>
  <si>
    <t xml:space="preserve">    If sPath = "" Then Exit Sub</t>
  </si>
  <si>
    <t xml:space="preserve">        If MsgBox("Fichier non trouve : " &amp; sPath &amp; vbCrLf &amp; _</t>
  </si>
  <si>
    <t xml:space="preserve">                  "Enregistrer quand meme ?", vbYesNo + vbQuestion) = vbNo Then Exit Sub</t>
  </si>
  <si>
    <t xml:space="preserve">    wsCfg.Range("B1").Value = sPath</t>
  </si>
  <si>
    <t xml:space="preserve">    MsgBox "Chemin enregistre. Cliquez sur ACTUALISER pour tester.", vbInformation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</si>
</sst>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dd/mm/yyyy"/>
    <numFmt numFmtId="168" formatCode="0"/>
    <numFmt numFmtId="169" formatCode="0.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i val="true"/>
      <sz val="11"/>
      <color rgb="FFD4AF3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4A4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CDD5E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4A90D9"/>
      <name val="Arial"/>
      <family val="0"/>
      <charset val="1"/>
    </font>
    <font>
      <sz val="10"/>
      <color rgb="FFCDD5E0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sz val="9"/>
      <color rgb="FF6A6A6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2E5FA3"/>
      <name val="Arial"/>
      <family val="0"/>
      <charset val="1"/>
    </font>
    <font>
      <i val="true"/>
      <sz val="9"/>
      <color rgb="FF4A4A4A"/>
      <name val="Arial"/>
      <family val="0"/>
      <charset val="1"/>
    </font>
    <font>
      <i val="true"/>
      <sz val="8"/>
      <color rgb="FF00695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8"/>
      <color rgb="FFCDD5E0"/>
      <name val="Courier New"/>
      <family val="0"/>
      <charset val="1"/>
    </font>
    <font>
      <sz val="9"/>
      <color rgb="FF1A237E"/>
      <name val="Courier New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B2A4A"/>
        <bgColor rgb="FF1A237E"/>
      </patternFill>
    </fill>
    <fill>
      <patternFill patternType="solid">
        <fgColor rgb="FFD4AF37"/>
        <bgColor rgb="FFE67E22"/>
      </patternFill>
    </fill>
    <fill>
      <patternFill patternType="solid">
        <fgColor rgb="FF27AE60"/>
        <bgColor rgb="FF388E3C"/>
      </patternFill>
    </fill>
    <fill>
      <patternFill patternType="solid">
        <fgColor rgb="FFF5F7FA"/>
        <bgColor rgb="FFF9F9F9"/>
      </patternFill>
    </fill>
    <fill>
      <patternFill patternType="solid">
        <fgColor rgb="FFCDD5E0"/>
        <bgColor rgb="FFD9D9D9"/>
      </patternFill>
    </fill>
    <fill>
      <patternFill patternType="solid">
        <fgColor rgb="FF4A90D9"/>
        <bgColor rgb="FF4F81BD"/>
      </patternFill>
    </fill>
    <fill>
      <patternFill patternType="solid">
        <fgColor rgb="FFE67E22"/>
        <bgColor rgb="FFFF8080"/>
      </patternFill>
    </fill>
    <fill>
      <patternFill patternType="solid">
        <fgColor rgb="FFC0392B"/>
        <bgColor rgb="FFB71C1C"/>
      </patternFill>
    </fill>
    <fill>
      <patternFill patternType="solid">
        <fgColor rgb="FF2E5FA3"/>
        <bgColor rgb="FF455A64"/>
      </patternFill>
    </fill>
    <fill>
      <patternFill patternType="solid">
        <fgColor rgb="FF455A64"/>
        <bgColor rgb="FF4A4A4A"/>
      </patternFill>
    </fill>
    <fill>
      <patternFill patternType="solid">
        <fgColor rgb="FF37474F"/>
        <bgColor rgb="FF4A4A4A"/>
      </patternFill>
    </fill>
    <fill>
      <patternFill patternType="solid">
        <fgColor rgb="FF4A4A4A"/>
        <bgColor rgb="FF37474F"/>
      </patternFill>
    </fill>
    <fill>
      <patternFill patternType="solid">
        <fgColor rgb="FFFFFFFF"/>
        <bgColor rgb="FFF8F9FF"/>
      </patternFill>
    </fill>
    <fill>
      <patternFill patternType="solid">
        <fgColor rgb="FFFFF8DC"/>
        <bgColor rgb="FFFFF9C4"/>
      </patternFill>
    </fill>
    <fill>
      <patternFill patternType="solid">
        <fgColor rgb="FFE65100"/>
        <bgColor rgb="FFC0392B"/>
      </patternFill>
    </fill>
    <fill>
      <patternFill patternType="solid">
        <fgColor rgb="FF2E7D32"/>
        <bgColor rgb="FF388E3C"/>
      </patternFill>
    </fill>
    <fill>
      <patternFill patternType="solid">
        <fgColor rgb="FF1B5E20"/>
        <bgColor rgb="FF00695C"/>
      </patternFill>
    </fill>
    <fill>
      <patternFill patternType="solid">
        <fgColor rgb="FF388E3C"/>
        <bgColor rgb="FF2E7D32"/>
      </patternFill>
    </fill>
    <fill>
      <patternFill patternType="solid">
        <fgColor rgb="FF4A148C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00695C"/>
        <bgColor rgb="FF1B5E20"/>
      </patternFill>
    </fill>
    <fill>
      <patternFill patternType="solid">
        <fgColor rgb="FFB71C1C"/>
        <bgColor rgb="FFC0392B"/>
      </patternFill>
    </fill>
    <fill>
      <patternFill patternType="solid">
        <fgColor rgb="FFF8F9FF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B2A4A"/>
      </left>
      <right/>
      <top style="medium">
        <color rgb="FF1B2A4A"/>
      </top>
      <bottom style="medium">
        <color rgb="FF1B2A4A"/>
      </bottom>
      <diagonal/>
    </border>
    <border diagonalUp="false" diagonalDown="false">
      <left style="thin">
        <color rgb="FFCDD5E0"/>
      </left>
      <right/>
      <top style="thin">
        <color rgb="FFCDD5E0"/>
      </top>
      <bottom style="thin">
        <color rgb="FFCDD5E0"/>
      </bottom>
      <diagonal/>
    </border>
    <border diagonalUp="false" diagonalDown="false">
      <left style="thin">
        <color rgb="FFCDD5E0"/>
      </left>
      <right style="thin">
        <color rgb="FFCDD5E0"/>
      </right>
      <top style="thin">
        <color rgb="FFCDD5E0"/>
      </top>
      <bottom style="thin">
        <color rgb="FFCD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DD5E0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455A6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2E5FA3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E3F2FD"/>
        </patternFill>
      </fill>
    </dxf>
    <dxf>
      <font>
        <b val="1"/>
        <color rgb="FFC0392B"/>
      </font>
      <fill>
        <patternFill>
          <bgColor rgb="FFFFCDD2"/>
        </patternFill>
      </fill>
    </dxf>
    <dxf>
      <fill>
        <patternFill>
          <bgColor rgb="FFFFF9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607D8B"/>
      <rgbColor rgb="FF6A1B9A"/>
      <rgbColor rgb="FF00695C"/>
      <rgbColor rgb="FFD9D9D9"/>
      <rgbColor rgb="FF878787"/>
      <rgbColor rgb="FF4A90D9"/>
      <rgbColor rgb="FFC0392B"/>
      <rgbColor rgb="FFFFF9C4"/>
      <rgbColor rgb="FFE3F2FD"/>
      <rgbColor rgb="FF4A148C"/>
      <rgbColor rgb="FFFF8080"/>
      <rgbColor rgb="FF2E5FA3"/>
      <rgbColor rgb="FFCDD5E0"/>
      <rgbColor rgb="FF000080"/>
      <rgbColor rgb="FFFF00FF"/>
      <rgbColor rgb="FFFFFF00"/>
      <rgbColor rgb="FF00FFFF"/>
      <rgbColor rgb="FF800080"/>
      <rgbColor rgb="FF800000"/>
      <rgbColor rgb="FF27AE60"/>
      <rgbColor rgb="FF0000FF"/>
      <rgbColor rgb="FF00CCFF"/>
      <rgbColor rgb="FFF5F7FA"/>
      <rgbColor rgb="FFC8E6C9"/>
      <rgbColor rgb="FFFFF8DC"/>
      <rgbColor rgb="FFF8F9FF"/>
      <rgbColor rgb="FFFFCDD2"/>
      <rgbColor rgb="FFF9F9F9"/>
      <rgbColor rgb="FFFFE0B2"/>
      <rgbColor rgb="FF4F81BD"/>
      <rgbColor rgb="FF33CCCC"/>
      <rgbColor rgb="FF99CC00"/>
      <rgbColor rgb="FFD4AF37"/>
      <rgbColor rgb="FFE67E22"/>
      <rgbColor rgb="FFE65100"/>
      <rgbColor rgb="FF6A6A6A"/>
      <rgbColor rgb="FF888888"/>
      <rgbColor rgb="FF1A237E"/>
      <rgbColor rgb="FF388E3C"/>
      <rgbColor rgb="FF1B5E20"/>
      <rgbColor rgb="FF4A4A4A"/>
      <rgbColor rgb="FFB71C1C"/>
      <rgbColor rgb="FF455A64"/>
      <rgbColor rgb="FF37474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5fa3"/>
            </a:solidFill>
            <a:ln w="0">
              <a:solidFill>
                <a:srgbClr val="1b2a4a"/>
              </a:solidFill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0"/>
                <c:pt idx="0">
                  <c:v>Absence de CREDAPP</c:v>
                </c:pt>
                <c:pt idx="1">
                  <c:v>Absence de CREDAPP</c:v>
                </c:pt>
                <c:pt idx="2">
                  <c:v>Absence de CREDAPP</c:v>
                </c:pt>
                <c:pt idx="3">
                  <c:v>Absence de CREDAPP</c:v>
                </c:pt>
                <c:pt idx="4">
                  <c:v>Absence de CREDAPP</c:v>
                </c:pt>
                <c:pt idx="5">
                  <c:v>Absence de CREDAPP</c:v>
                </c:pt>
                <c:pt idx="6">
                  <c:v>Absence de CREDAPP</c:v>
                </c:pt>
                <c:pt idx="7">
                  <c:v>Absence de CREDAPP</c:v>
                </c:pt>
                <c:pt idx="8">
                  <c:v>Absence de CREDAPP</c:v>
                </c:pt>
                <c:pt idx="9">
                  <c:v>Absence de CREDAPP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98465781"/>
        <c:axId val="80402129"/>
      </c:barChart>
      <c:catAx>
        <c:axId val="9846578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dossiers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02129"/>
        <c:crosses val="autoZero"/>
        <c:auto val="1"/>
        <c:lblAlgn val="ctr"/>
        <c:lblOffset val="100"/>
        <c:noMultiLvlLbl val="0"/>
      </c:catAx>
      <c:valAx>
        <c:axId val="80402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657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4a90d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categories</c:f>
              <c:strCache>
                <c:ptCount val="3"/>
                <c:pt idx="0">
                  <c:v>En cours</c:v>
                </c:pt>
                <c:pt idx="1">
                  <c:v>Cloture</c:v>
                </c:pt>
                <c:pt idx="2">
                  <c:v>En attente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EN COURS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0"/>
                <c:pt idx="0">
                  <c:v>ANALYSTES (mis a jour depuis Access)</c:v>
                </c:pt>
                <c:pt idx="1">
                  <c:v>None</c:v>
                </c:pt>
                <c:pt idx="2">
                  <c:v>None</c:v>
                </c:pt>
                <c:pt idx="3">
                  <c:v>None</c:v>
                </c:pt>
                <c:pt idx="4">
                  <c:v>None</c:v>
                </c:pt>
                <c:pt idx="5">
                  <c:v>None</c:v>
                </c:pt>
                <c:pt idx="6">
                  <c:v>None</c:v>
                </c:pt>
                <c:pt idx="7">
                  <c:v>None</c:v>
                </c:pt>
                <c:pt idx="8">
                  <c:v>None</c:v>
                </c:pt>
                <c:pt idx="9">
                  <c:v>None</c:v>
                </c:pt>
                <c:pt idx="10">
                  <c:v>None</c:v>
                </c:pt>
                <c:pt idx="11">
                  <c:v>None</c:v>
                </c:pt>
                <c:pt idx="12">
                  <c:v>None</c:v>
                </c:pt>
                <c:pt idx="13">
                  <c:v>None</c:v>
                </c:pt>
                <c:pt idx="14">
                  <c:v>None</c:v>
                </c:pt>
                <c:pt idx="15">
                  <c:v>None</c:v>
                </c:pt>
                <c:pt idx="16">
                  <c:v>None</c:v>
                </c:pt>
                <c:pt idx="17">
                  <c:v>None</c:v>
                </c:pt>
                <c:pt idx="18">
                  <c:v>None</c:v>
                </c:pt>
                <c:pt idx="19">
                  <c:v>None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0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CLOTURE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0"/>
                <c:pt idx="0">
                  <c:v>ANALYSTES (mis a jour depuis Access)</c:v>
                </c:pt>
                <c:pt idx="1">
                  <c:v>None</c:v>
                </c:pt>
                <c:pt idx="2">
                  <c:v>None</c:v>
                </c:pt>
                <c:pt idx="3">
                  <c:v>None</c:v>
                </c:pt>
                <c:pt idx="4">
                  <c:v>None</c:v>
                </c:pt>
                <c:pt idx="5">
                  <c:v>None</c:v>
                </c:pt>
                <c:pt idx="6">
                  <c:v>None</c:v>
                </c:pt>
                <c:pt idx="7">
                  <c:v>None</c:v>
                </c:pt>
                <c:pt idx="8">
                  <c:v>None</c:v>
                </c:pt>
                <c:pt idx="9">
                  <c:v>None</c:v>
                </c:pt>
                <c:pt idx="10">
                  <c:v>None</c:v>
                </c:pt>
                <c:pt idx="11">
                  <c:v>None</c:v>
                </c:pt>
                <c:pt idx="12">
                  <c:v>None</c:v>
                </c:pt>
                <c:pt idx="13">
                  <c:v>None</c:v>
                </c:pt>
                <c:pt idx="14">
                  <c:v>None</c:v>
                </c:pt>
                <c:pt idx="15">
                  <c:v>None</c:v>
                </c:pt>
                <c:pt idx="16">
                  <c:v>None</c:v>
                </c:pt>
                <c:pt idx="17">
                  <c:v>None</c:v>
                </c:pt>
                <c:pt idx="18">
                  <c:v>None</c:v>
                </c:pt>
                <c:pt idx="19">
                  <c:v>None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0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EN ATTENTE</c:v>
                </c:pt>
              </c:strCache>
            </c:strRef>
          </c:tx>
          <c:spPr>
            <a:solidFill>
              <a:srgbClr val="4a90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0"/>
                <c:pt idx="0">
                  <c:v>ANALYSTES (mis a jour depuis Access)</c:v>
                </c:pt>
                <c:pt idx="1">
                  <c:v>None</c:v>
                </c:pt>
                <c:pt idx="2">
                  <c:v>None</c:v>
                </c:pt>
                <c:pt idx="3">
                  <c:v>None</c:v>
                </c:pt>
                <c:pt idx="4">
                  <c:v>None</c:v>
                </c:pt>
                <c:pt idx="5">
                  <c:v>None</c:v>
                </c:pt>
                <c:pt idx="6">
                  <c:v>None</c:v>
                </c:pt>
                <c:pt idx="7">
                  <c:v>None</c:v>
                </c:pt>
                <c:pt idx="8">
                  <c:v>None</c:v>
                </c:pt>
                <c:pt idx="9">
                  <c:v>None</c:v>
                </c:pt>
                <c:pt idx="10">
                  <c:v>None</c:v>
                </c:pt>
                <c:pt idx="11">
                  <c:v>None</c:v>
                </c:pt>
                <c:pt idx="12">
                  <c:v>None</c:v>
                </c:pt>
                <c:pt idx="13">
                  <c:v>None</c:v>
                </c:pt>
                <c:pt idx="14">
                  <c:v>None</c:v>
                </c:pt>
                <c:pt idx="15">
                  <c:v>None</c:v>
                </c:pt>
                <c:pt idx="16">
                  <c:v>None</c:v>
                </c:pt>
                <c:pt idx="17">
                  <c:v>None</c:v>
                </c:pt>
                <c:pt idx="18">
                  <c:v>None</c:v>
                </c:pt>
                <c:pt idx="19">
                  <c:v>None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20"/>
                <c:pt idx="0">
                  <c:v>0</c:v>
                </c:pt>
              </c:numCache>
            </c:numRef>
          </c:val>
        </c:ser>
        <c:gapWidth val="150"/>
        <c:overlap val="0"/>
        <c:axId val="12066217"/>
        <c:axId val="79942569"/>
      </c:barChart>
      <c:catAx>
        <c:axId val="120662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42569"/>
        <c:crosses val="autoZero"/>
        <c:auto val="1"/>
        <c:lblAlgn val="ctr"/>
        <c:lblOffset val="100"/>
        <c:noMultiLvlLbl val="0"/>
      </c:catAx>
      <c:valAx>
        <c:axId val="79942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Dossiers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66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20</xdr:col>
      <xdr:colOff>128880</xdr:colOff>
      <xdr:row>26</xdr:row>
      <xdr:rowOff>173520</xdr:rowOff>
    </xdr:to>
    <xdr:graphicFrame>
      <xdr:nvGraphicFramePr>
        <xdr:cNvPr id="0" name="Chart 1"/>
        <xdr:cNvGraphicFramePr/>
      </xdr:nvGraphicFramePr>
      <xdr:xfrm>
        <a:off x="0" y="876240"/>
        <a:ext cx="647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3</xdr:row>
      <xdr:rowOff>0</xdr:rowOff>
    </xdr:from>
    <xdr:to>
      <xdr:col>30</xdr:col>
      <xdr:colOff>276480</xdr:colOff>
      <xdr:row>26</xdr:row>
      <xdr:rowOff>173520</xdr:rowOff>
    </xdr:to>
    <xdr:graphicFrame>
      <xdr:nvGraphicFramePr>
        <xdr:cNvPr id="1" name="Chart 2"/>
        <xdr:cNvGraphicFramePr/>
      </xdr:nvGraphicFramePr>
      <xdr:xfrm>
        <a:off x="4762440" y="876240"/>
        <a:ext cx="503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20</xdr:col>
      <xdr:colOff>128880</xdr:colOff>
      <xdr:row>47</xdr:row>
      <xdr:rowOff>49680</xdr:rowOff>
    </xdr:to>
    <xdr:graphicFrame>
      <xdr:nvGraphicFramePr>
        <xdr:cNvPr id="2" name="Chart 3"/>
        <xdr:cNvGraphicFramePr/>
      </xdr:nvGraphicFramePr>
      <xdr:xfrm>
        <a:off x="0" y="4809960"/>
        <a:ext cx="647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Suspens" displayName="TBL_Suspens" ref="A2:P202" headerRowCount="1" totalsRowCount="0" totalsRowShown="0">
  <autoFilter ref="A2:P202"/>
  <tableColumns count="16">
    <tableColumn id="1" name="N°"/>
    <tableColumn id="2" name="IDSG&#10;(Access)"/>
    <tableColumn id="3" name="RCT"/>
    <tableColumn id="4" name="CLIENT"/>
    <tableColumn id="5" name="ANALYSTE&#10;(Access)"/>
    <tableColumn id="6" name="ETAT&#10;(Access)"/>
    <tableColumn id="7" name="DATE&#10;RECEPTION"/>
    <tableColumn id="8" name="STATUT&#10;SUIVI"/>
    <tableColumn id="9" name="DUREE&#10;(jours)"/>
    <tableColumn id="10" name="RAISON&#10;PRINCIPALE"/>
    <tableColumn id="11" name="RAISON 2"/>
    <tableColumn id="12" name="RAISON 3"/>
    <tableColumn id="13" name="COMMENTAIRES DRC"/>
    <tableColumn id="14" name="DEMANDE&#10;(Access)"/>
    <tableColumn id="15" name="MOIS"/>
    <tableColumn id="16" name="ANNE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</cols>
  <sheetData>
    <row r="1" customFormat="false" ht="15" hidden="false" customHeight="true" outlineLevel="0" collapsed="false">
      <c r="A1" s="2" t="s">
        <v>0</v>
      </c>
      <c r="B1" s="1" t="s">
        <v>1</v>
      </c>
    </row>
    <row r="2" customFormat="false" ht="15" hidden="false" customHeight="true" outlineLevel="0" collapsed="false">
      <c r="A2" s="2" t="s">
        <v>2</v>
      </c>
    </row>
    <row r="3" customFormat="false" ht="15" hidden="false" customHeight="true" outlineLevel="0" collapsed="false">
      <c r="A3" s="2" t="s">
        <v>3</v>
      </c>
    </row>
    <row r="4" customFormat="false" ht="15" hidden="false" customHeight="true" outlineLevel="0" collapsed="false">
      <c r="A4" s="2" t="s">
        <v>4</v>
      </c>
      <c r="B4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K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1" min="2" style="1" width="15"/>
  </cols>
  <sheetData>
    <row r="1" customFormat="false" ht="7.5" hidden="false" customHeight="tru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64.5" hidden="false" customHeight="true" outlineLevel="0" collapsed="false">
      <c r="B2" s="4" t="s">
        <v>6</v>
      </c>
      <c r="C2" s="4"/>
      <c r="D2" s="4"/>
      <c r="E2" s="4"/>
      <c r="F2" s="4"/>
      <c r="G2" s="4"/>
      <c r="H2" s="4"/>
      <c r="I2" s="4"/>
      <c r="J2" s="4"/>
      <c r="K2" s="4"/>
    </row>
    <row r="3" customFormat="false" ht="25.5" hidden="false" customHeight="true" outlineLevel="0" collapsed="false">
      <c r="B3" s="5" t="s">
        <v>7</v>
      </c>
      <c r="C3" s="5"/>
      <c r="D3" s="5"/>
      <c r="E3" s="5"/>
      <c r="F3" s="5"/>
      <c r="G3" s="5"/>
      <c r="H3" s="5"/>
      <c r="I3" s="5"/>
      <c r="J3" s="5"/>
      <c r="K3" s="5"/>
    </row>
    <row r="4" customFormat="false" ht="4.5" hidden="false" customHeight="true" outlineLevel="0" collapsed="false"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9.75" hidden="false" customHeight="true" outlineLevel="0" collapsed="false"/>
    <row r="6" customFormat="false" ht="42" hidden="false" customHeight="true" outlineLevel="0" collapsed="false">
      <c r="B6" s="7" t="s">
        <v>8</v>
      </c>
      <c r="C6" s="7"/>
      <c r="D6" s="7"/>
      <c r="E6" s="7"/>
      <c r="F6" s="7"/>
      <c r="G6" s="8" t="str">
        <f aca="false">CONFIG!B4</f>
        <v>Non connecte</v>
      </c>
      <c r="H6" s="8"/>
      <c r="I6" s="8"/>
      <c r="J6" s="8"/>
      <c r="K6" s="8"/>
    </row>
    <row r="7" customFormat="false" ht="7.5" hidden="false" customHeight="true" outlineLevel="0" collapsed="false"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false" ht="24" hidden="false" customHeight="true" outlineLevel="0" collapsed="false">
      <c r="B8" s="10" t="s">
        <v>9</v>
      </c>
      <c r="C8" s="10"/>
      <c r="D8" s="10"/>
      <c r="E8" s="10"/>
      <c r="F8" s="10"/>
      <c r="G8" s="10"/>
      <c r="H8" s="10"/>
      <c r="I8" s="10"/>
      <c r="J8" s="10"/>
      <c r="K8" s="10"/>
    </row>
    <row r="9" customFormat="false" ht="31.5" hidden="false" customHeight="true" outlineLevel="0" collapsed="false">
      <c r="B9" s="11" t="s">
        <v>10</v>
      </c>
      <c r="C9" s="11"/>
      <c r="D9" s="11"/>
      <c r="E9" s="11"/>
      <c r="F9" s="11"/>
      <c r="G9" s="11"/>
      <c r="H9" s="11"/>
      <c r="I9" s="12" t="n">
        <f aca="false">COUNTIF('📋 Suspens'!H:H,"En cours")</f>
        <v>0</v>
      </c>
      <c r="J9" s="12"/>
      <c r="K9" s="12"/>
    </row>
    <row r="10" customFormat="false" ht="31.5" hidden="false" customHeight="true" outlineLevel="0" collapsed="false">
      <c r="B10" s="11" t="s">
        <v>11</v>
      </c>
      <c r="C10" s="11"/>
      <c r="D10" s="11"/>
      <c r="E10" s="11"/>
      <c r="F10" s="11"/>
      <c r="G10" s="11"/>
      <c r="H10" s="11"/>
      <c r="I10" s="13" t="n">
        <f aca="true">COUNTIFS('📋 Suspens'!H:H,"Cloture",'📋 Suspens'!O:O,TEXT(TODAY(),"MMMM YYYY"))</f>
        <v>0</v>
      </c>
      <c r="J10" s="13"/>
      <c r="K10" s="13"/>
    </row>
    <row r="11" customFormat="false" ht="31.5" hidden="false" customHeight="true" outlineLevel="0" collapsed="false">
      <c r="B11" s="11" t="s">
        <v>12</v>
      </c>
      <c r="C11" s="11"/>
      <c r="D11" s="11"/>
      <c r="E11" s="11"/>
      <c r="F11" s="11"/>
      <c r="G11" s="11"/>
      <c r="H11" s="11"/>
      <c r="I11" s="14" t="n">
        <f aca="true">COUNTIFS('📋 Suspens'!H:H,"En cours",'📋 Suspens'!I:I,"&lt;="&amp;TODAY()-30)</f>
        <v>0</v>
      </c>
      <c r="J11" s="14"/>
      <c r="K11" s="14"/>
    </row>
    <row r="12" customFormat="false" ht="31.5" hidden="false" customHeight="true" outlineLevel="0" collapsed="false">
      <c r="B12" s="11" t="s">
        <v>13</v>
      </c>
      <c r="C12" s="11"/>
      <c r="D12" s="11"/>
      <c r="E12" s="11"/>
      <c r="F12" s="11"/>
      <c r="G12" s="11"/>
      <c r="H12" s="11"/>
      <c r="I12" s="15" t="n">
        <f aca="true">COUNTIFS('📋 Suspens'!O:O,TEXT(TODAY(),"MMMM YYYY"),'📋 Suspens'!H:H,"En cours")</f>
        <v>0</v>
      </c>
      <c r="J12" s="15"/>
      <c r="K12" s="15"/>
    </row>
    <row r="13" customFormat="false" ht="31.5" hidden="false" customHeight="true" outlineLevel="0" collapsed="false">
      <c r="B13" s="11" t="s">
        <v>14</v>
      </c>
      <c r="C13" s="11"/>
      <c r="D13" s="11"/>
      <c r="E13" s="11"/>
      <c r="F13" s="11"/>
      <c r="G13" s="11"/>
      <c r="H13" s="11"/>
      <c r="I13" s="16" t="str">
        <f aca="false">IFERROR(AVERAGEIF('📋 Suspens'!H:H,"En cours",'📋 Suspens'!I:I),"-")</f>
        <v>-</v>
      </c>
      <c r="J13" s="16"/>
      <c r="K13" s="16"/>
    </row>
    <row r="14" customFormat="false" ht="31.5" hidden="false" customHeight="true" outlineLevel="0" collapsed="false">
      <c r="B14" s="11" t="s">
        <v>15</v>
      </c>
      <c r="C14" s="11"/>
      <c r="D14" s="11"/>
      <c r="E14" s="11"/>
      <c r="F14" s="11"/>
      <c r="G14" s="11"/>
      <c r="H14" s="11"/>
      <c r="I14" s="17" t="n">
        <f aca="false">COUNTA('📥 Donnees Access'!A:A)-2</f>
        <v>1</v>
      </c>
      <c r="J14" s="17"/>
      <c r="K14" s="17"/>
    </row>
    <row r="15" customFormat="false" ht="12" hidden="false" customHeight="true" outlineLevel="0" collapsed="false"/>
    <row r="16" customFormat="false" ht="15" hidden="false" customHeight="true" outlineLevel="0" collapsed="false">
      <c r="B16" s="18" t="str">
        <f aca="false">IFERROR("Derniere actualisation : "&amp;TEXT(CONFIG!C3,"DD/MM/YYYY HH:MM"),"Non actualise")</f>
        <v>Derniere actualisation : 30/12/1899 00:00</v>
      </c>
      <c r="C16" s="18"/>
      <c r="D16" s="18"/>
      <c r="E16" s="18"/>
      <c r="F16" s="18"/>
      <c r="G16" s="18"/>
      <c r="H16" s="18"/>
      <c r="I16" s="18"/>
      <c r="J16" s="18"/>
      <c r="K16" s="18"/>
    </row>
  </sheetData>
  <mergeCells count="21">
    <mergeCell ref="B1:K1"/>
    <mergeCell ref="B2:K2"/>
    <mergeCell ref="B3:K3"/>
    <mergeCell ref="B4:K4"/>
    <mergeCell ref="B6:F6"/>
    <mergeCell ref="G6:K6"/>
    <mergeCell ref="B7:K7"/>
    <mergeCell ref="B8:K8"/>
    <mergeCell ref="B9:H9"/>
    <mergeCell ref="I9:K9"/>
    <mergeCell ref="B10:H10"/>
    <mergeCell ref="I10:K10"/>
    <mergeCell ref="B11:H11"/>
    <mergeCell ref="I11:K11"/>
    <mergeCell ref="B12:H12"/>
    <mergeCell ref="I12:K12"/>
    <mergeCell ref="B13:H13"/>
    <mergeCell ref="I13:K13"/>
    <mergeCell ref="B14:H14"/>
    <mergeCell ref="I14:K14"/>
    <mergeCell ref="B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W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10" min="7" style="1" width="16"/>
    <col collapsed="false" customWidth="true" hidden="false" outlineLevel="0" max="11" min="11" style="1" width="18"/>
    <col collapsed="false" customWidth="true" hidden="false" outlineLevel="0" max="12" min="12" style="1" width="16"/>
    <col collapsed="false" customWidth="true" hidden="false" outlineLevel="0" max="16" min="13" style="1" width="14"/>
    <col collapsed="false" customWidth="true" hidden="false" outlineLevel="0" max="17" min="17" style="1" width="18"/>
    <col collapsed="false" customWidth="true" hidden="false" outlineLevel="0" max="18" min="18" style="1" width="8"/>
    <col collapsed="false" customWidth="true" hidden="false" outlineLevel="0" max="19" min="19" style="1" width="10"/>
    <col collapsed="false" customWidth="true" hidden="false" outlineLevel="0" max="20" min="20" style="1" width="14"/>
    <col collapsed="false" customWidth="true" hidden="false" outlineLevel="0" max="21" min="21" style="1" width="18"/>
    <col collapsed="false" customWidth="true" hidden="false" outlineLevel="0" max="22" min="22" style="1" width="14"/>
    <col collapsed="false" customWidth="true" hidden="false" outlineLevel="0" max="23" min="23" style="1" width="12"/>
  </cols>
  <sheetData>
    <row r="1" customFormat="false" ht="34.5" hidden="false" customHeight="true" outlineLevel="0" collapsed="false">
      <c r="A1" s="19" t="s">
        <v>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customFormat="false" ht="31.5" hidden="false" customHeight="true" outlineLevel="0" collapsed="false">
      <c r="A2" s="20" t="s">
        <v>17</v>
      </c>
      <c r="B2" s="20" t="s">
        <v>18</v>
      </c>
      <c r="C2" s="20" t="s">
        <v>19</v>
      </c>
      <c r="D2" s="20" t="s">
        <v>20</v>
      </c>
      <c r="E2" s="20" t="s">
        <v>21</v>
      </c>
      <c r="F2" s="20" t="s">
        <v>22</v>
      </c>
      <c r="G2" s="20" t="s">
        <v>23</v>
      </c>
      <c r="H2" s="20" t="s">
        <v>24</v>
      </c>
      <c r="I2" s="20" t="s">
        <v>25</v>
      </c>
      <c r="J2" s="20" t="s">
        <v>26</v>
      </c>
      <c r="K2" s="20" t="s">
        <v>27</v>
      </c>
      <c r="L2" s="20" t="s">
        <v>28</v>
      </c>
      <c r="M2" s="20" t="s">
        <v>29</v>
      </c>
      <c r="N2" s="20" t="s">
        <v>30</v>
      </c>
      <c r="O2" s="20" t="s">
        <v>31</v>
      </c>
      <c r="P2" s="20" t="s">
        <v>32</v>
      </c>
      <c r="Q2" s="20" t="s">
        <v>33</v>
      </c>
      <c r="R2" s="20" t="s">
        <v>34</v>
      </c>
      <c r="S2" s="20" t="s">
        <v>35</v>
      </c>
      <c r="T2" s="20" t="s">
        <v>36</v>
      </c>
      <c r="U2" s="20" t="s">
        <v>37</v>
      </c>
      <c r="V2" s="20" t="s">
        <v>38</v>
      </c>
      <c r="W2" s="20" t="s">
        <v>39</v>
      </c>
    </row>
    <row r="3" customFormat="false" ht="21.75" hidden="false" customHeight="true" outlineLevel="0" collapsed="false">
      <c r="A3" s="21" t="s">
        <v>40</v>
      </c>
    </row>
  </sheetData>
  <mergeCells count="1">
    <mergeCell ref="A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P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8" min="7" style="1" width="14"/>
    <col collapsed="false" customWidth="true" hidden="false" outlineLevel="0" max="9" min="9" style="1" width="10"/>
    <col collapsed="false" customWidth="true" hidden="false" outlineLevel="0" max="12" min="10" style="1" width="26"/>
    <col collapsed="false" customWidth="true" hidden="false" outlineLevel="0" max="13" min="13" style="1" width="40"/>
    <col collapsed="false" customWidth="true" hidden="false" outlineLevel="0" max="14" min="14" style="1" width="20"/>
    <col collapsed="false" customWidth="true" hidden="false" outlineLevel="0" max="15" min="15" style="1" width="16"/>
    <col collapsed="false" customWidth="true" hidden="false" outlineLevel="0" max="16" min="16" style="1" width="10"/>
  </cols>
  <sheetData>
    <row r="1" customFormat="false" ht="34.5" hidden="false" customHeight="true" outlineLevel="0" collapsed="false">
      <c r="A1" s="22" t="s">
        <v>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Format="false" ht="42" hidden="false" customHeight="true" outlineLevel="0" collapsed="false">
      <c r="A2" s="23" t="s">
        <v>42</v>
      </c>
      <c r="B2" s="23" t="s">
        <v>43</v>
      </c>
      <c r="C2" s="23" t="s">
        <v>18</v>
      </c>
      <c r="D2" s="23" t="s">
        <v>19</v>
      </c>
      <c r="E2" s="24" t="s">
        <v>44</v>
      </c>
      <c r="F2" s="24" t="s">
        <v>45</v>
      </c>
      <c r="G2" s="23" t="s">
        <v>46</v>
      </c>
      <c r="H2" s="23" t="s">
        <v>47</v>
      </c>
      <c r="I2" s="23" t="s">
        <v>48</v>
      </c>
      <c r="J2" s="25" t="s">
        <v>49</v>
      </c>
      <c r="K2" s="25" t="s">
        <v>50</v>
      </c>
      <c r="L2" s="25" t="s">
        <v>51</v>
      </c>
      <c r="M2" s="23" t="s">
        <v>52</v>
      </c>
      <c r="N2" s="24" t="s">
        <v>53</v>
      </c>
      <c r="O2" s="26" t="s">
        <v>54</v>
      </c>
      <c r="P2" s="26" t="s">
        <v>55</v>
      </c>
    </row>
    <row r="3" customFormat="false" ht="21.75" hidden="false" customHeight="true" outlineLevel="0" collapsed="false">
      <c r="A3" s="27" t="str">
        <f aca="false">IF(B3&lt;&gt;"",ROW()-2,"")</f>
        <v/>
      </c>
      <c r="B3" s="28"/>
      <c r="C3" s="28"/>
      <c r="D3" s="28"/>
      <c r="E3" s="28"/>
      <c r="F3" s="28"/>
      <c r="G3" s="29"/>
      <c r="H3" s="30"/>
      <c r="I3" s="31" t="str">
        <f aca="true">IF(AND(G3&lt;&gt;"",H3="En cours"),TODAY()-G3,IF(AND(G3&lt;&gt;"",H3="Cloture"),TODAY()-G3,""))</f>
        <v/>
      </c>
      <c r="J3" s="28"/>
      <c r="K3" s="28"/>
      <c r="L3" s="28"/>
      <c r="M3" s="32"/>
      <c r="N3" s="30"/>
      <c r="O3" s="33" t="str">
        <f aca="false">IF(G3&lt;&gt;"",TEXT(G3,"MMMM YYYY"),"")</f>
        <v/>
      </c>
      <c r="P3" s="33" t="str">
        <f aca="false">IF(G3&lt;&gt;"",YEAR(G3),"")</f>
        <v/>
      </c>
    </row>
    <row r="4" customFormat="false" ht="21.75" hidden="false" customHeight="true" outlineLevel="0" collapsed="false">
      <c r="A4" s="34" t="str">
        <f aca="false">IF(B4&lt;&gt;"",ROW()-2,"")</f>
        <v/>
      </c>
      <c r="B4" s="35"/>
      <c r="C4" s="35"/>
      <c r="D4" s="35"/>
      <c r="E4" s="35"/>
      <c r="F4" s="35"/>
      <c r="G4" s="36"/>
      <c r="H4" s="37"/>
      <c r="I4" s="31" t="str">
        <f aca="true">IF(AND(G4&lt;&gt;"",H4="En cours"),TODAY()-G4,IF(AND(G4&lt;&gt;"",H4="Cloture"),TODAY()-G4,""))</f>
        <v/>
      </c>
      <c r="J4" s="35"/>
      <c r="K4" s="35"/>
      <c r="L4" s="35"/>
      <c r="M4" s="38"/>
      <c r="N4" s="37"/>
      <c r="O4" s="33" t="str">
        <f aca="false">IF(G4&lt;&gt;"",TEXT(G4,"MMMM YYYY"),"")</f>
        <v/>
      </c>
      <c r="P4" s="33" t="str">
        <f aca="false">IF(G4&lt;&gt;"",YEAR(G4),"")</f>
        <v/>
      </c>
    </row>
    <row r="5" customFormat="false" ht="21.75" hidden="false" customHeight="true" outlineLevel="0" collapsed="false">
      <c r="A5" s="27" t="str">
        <f aca="false">IF(B5&lt;&gt;"",ROW()-2,"")</f>
        <v/>
      </c>
      <c r="B5" s="28"/>
      <c r="C5" s="28"/>
      <c r="D5" s="28"/>
      <c r="E5" s="28"/>
      <c r="F5" s="28"/>
      <c r="G5" s="29"/>
      <c r="H5" s="30"/>
      <c r="I5" s="31" t="str">
        <f aca="true">IF(AND(G5&lt;&gt;"",H5="En cours"),TODAY()-G5,IF(AND(G5&lt;&gt;"",H5="Cloture"),TODAY()-G5,""))</f>
        <v/>
      </c>
      <c r="J5" s="28"/>
      <c r="K5" s="28"/>
      <c r="L5" s="28"/>
      <c r="M5" s="32"/>
      <c r="N5" s="30"/>
      <c r="O5" s="33" t="str">
        <f aca="false">IF(G5&lt;&gt;"",TEXT(G5,"MMMM YYYY"),"")</f>
        <v/>
      </c>
      <c r="P5" s="33" t="str">
        <f aca="false">IF(G5&lt;&gt;"",YEAR(G5),"")</f>
        <v/>
      </c>
    </row>
    <row r="6" customFormat="false" ht="21.75" hidden="false" customHeight="true" outlineLevel="0" collapsed="false">
      <c r="A6" s="34" t="str">
        <f aca="false">IF(B6&lt;&gt;"",ROW()-2,"")</f>
        <v/>
      </c>
      <c r="B6" s="35"/>
      <c r="C6" s="35"/>
      <c r="D6" s="35"/>
      <c r="E6" s="35"/>
      <c r="F6" s="35"/>
      <c r="G6" s="36"/>
      <c r="H6" s="37"/>
      <c r="I6" s="31" t="str">
        <f aca="true">IF(AND(G6&lt;&gt;"",H6="En cours"),TODAY()-G6,IF(AND(G6&lt;&gt;"",H6="Cloture"),TODAY()-G6,""))</f>
        <v/>
      </c>
      <c r="J6" s="35"/>
      <c r="K6" s="35"/>
      <c r="L6" s="35"/>
      <c r="M6" s="38"/>
      <c r="N6" s="37"/>
      <c r="O6" s="33" t="str">
        <f aca="false">IF(G6&lt;&gt;"",TEXT(G6,"MMMM YYYY"),"")</f>
        <v/>
      </c>
      <c r="P6" s="33" t="str">
        <f aca="false">IF(G6&lt;&gt;"",YEAR(G6),"")</f>
        <v/>
      </c>
    </row>
    <row r="7" customFormat="false" ht="21.75" hidden="false" customHeight="true" outlineLevel="0" collapsed="false">
      <c r="A7" s="27" t="str">
        <f aca="false">IF(B7&lt;&gt;"",ROW()-2,"")</f>
        <v/>
      </c>
      <c r="B7" s="28"/>
      <c r="C7" s="28"/>
      <c r="D7" s="28"/>
      <c r="E7" s="28"/>
      <c r="F7" s="28"/>
      <c r="G7" s="29"/>
      <c r="H7" s="30"/>
      <c r="I7" s="31" t="str">
        <f aca="true">IF(AND(G7&lt;&gt;"",H7="En cours"),TODAY()-G7,IF(AND(G7&lt;&gt;"",H7="Cloture"),TODAY()-G7,""))</f>
        <v/>
      </c>
      <c r="J7" s="28"/>
      <c r="K7" s="28"/>
      <c r="L7" s="28"/>
      <c r="M7" s="32"/>
      <c r="N7" s="30"/>
      <c r="O7" s="33" t="str">
        <f aca="false">IF(G7&lt;&gt;"",TEXT(G7,"MMMM YYYY"),"")</f>
        <v/>
      </c>
      <c r="P7" s="33" t="str">
        <f aca="false">IF(G7&lt;&gt;"",YEAR(G7),"")</f>
        <v/>
      </c>
    </row>
    <row r="8" customFormat="false" ht="21.75" hidden="false" customHeight="true" outlineLevel="0" collapsed="false">
      <c r="A8" s="34" t="str">
        <f aca="false">IF(B8&lt;&gt;"",ROW()-2,"")</f>
        <v/>
      </c>
      <c r="B8" s="35"/>
      <c r="C8" s="35"/>
      <c r="D8" s="35"/>
      <c r="E8" s="35"/>
      <c r="F8" s="35"/>
      <c r="G8" s="36"/>
      <c r="H8" s="37"/>
      <c r="I8" s="31" t="str">
        <f aca="true">IF(AND(G8&lt;&gt;"",H8="En cours"),TODAY()-G8,IF(AND(G8&lt;&gt;"",H8="Cloture"),TODAY()-G8,""))</f>
        <v/>
      </c>
      <c r="J8" s="35"/>
      <c r="K8" s="35"/>
      <c r="L8" s="35"/>
      <c r="M8" s="38"/>
      <c r="N8" s="37"/>
      <c r="O8" s="33" t="str">
        <f aca="false">IF(G8&lt;&gt;"",TEXT(G8,"MMMM YYYY"),"")</f>
        <v/>
      </c>
      <c r="P8" s="33" t="str">
        <f aca="false">IF(G8&lt;&gt;"",YEAR(G8),"")</f>
        <v/>
      </c>
    </row>
    <row r="9" customFormat="false" ht="21.75" hidden="false" customHeight="true" outlineLevel="0" collapsed="false">
      <c r="A9" s="27" t="str">
        <f aca="false">IF(B9&lt;&gt;"",ROW()-2,"")</f>
        <v/>
      </c>
      <c r="B9" s="28"/>
      <c r="C9" s="28"/>
      <c r="D9" s="28"/>
      <c r="E9" s="28"/>
      <c r="F9" s="28"/>
      <c r="G9" s="29"/>
      <c r="H9" s="30"/>
      <c r="I9" s="31" t="str">
        <f aca="true">IF(AND(G9&lt;&gt;"",H9="En cours"),TODAY()-G9,IF(AND(G9&lt;&gt;"",H9="Cloture"),TODAY()-G9,""))</f>
        <v/>
      </c>
      <c r="J9" s="28"/>
      <c r="K9" s="28"/>
      <c r="L9" s="28"/>
      <c r="M9" s="32"/>
      <c r="N9" s="30"/>
      <c r="O9" s="33" t="str">
        <f aca="false">IF(G9&lt;&gt;"",TEXT(G9,"MMMM YYYY"),"")</f>
        <v/>
      </c>
      <c r="P9" s="33" t="str">
        <f aca="false">IF(G9&lt;&gt;"",YEAR(G9),"")</f>
        <v/>
      </c>
    </row>
    <row r="10" customFormat="false" ht="21.75" hidden="false" customHeight="true" outlineLevel="0" collapsed="false">
      <c r="A10" s="34" t="str">
        <f aca="false">IF(B10&lt;&gt;"",ROW()-2,"")</f>
        <v/>
      </c>
      <c r="B10" s="35"/>
      <c r="C10" s="35"/>
      <c r="D10" s="35"/>
      <c r="E10" s="35"/>
      <c r="F10" s="35"/>
      <c r="G10" s="36"/>
      <c r="H10" s="37"/>
      <c r="I10" s="31" t="str">
        <f aca="true">IF(AND(G10&lt;&gt;"",H10="En cours"),TODAY()-G10,IF(AND(G10&lt;&gt;"",H10="Cloture"),TODAY()-G10,""))</f>
        <v/>
      </c>
      <c r="J10" s="35"/>
      <c r="K10" s="35"/>
      <c r="L10" s="35"/>
      <c r="M10" s="38"/>
      <c r="N10" s="37"/>
      <c r="O10" s="33" t="str">
        <f aca="false">IF(G10&lt;&gt;"",TEXT(G10,"MMMM YYYY"),"")</f>
        <v/>
      </c>
      <c r="P10" s="33" t="str">
        <f aca="false">IF(G10&lt;&gt;"",YEAR(G10),"")</f>
        <v/>
      </c>
    </row>
    <row r="11" customFormat="false" ht="21.75" hidden="false" customHeight="true" outlineLevel="0" collapsed="false">
      <c r="A11" s="27" t="str">
        <f aca="false">IF(B11&lt;&gt;"",ROW()-2,"")</f>
        <v/>
      </c>
      <c r="B11" s="28"/>
      <c r="C11" s="28"/>
      <c r="D11" s="28"/>
      <c r="E11" s="28"/>
      <c r="F11" s="28"/>
      <c r="G11" s="29"/>
      <c r="H11" s="30"/>
      <c r="I11" s="31" t="str">
        <f aca="true">IF(AND(G11&lt;&gt;"",H11="En cours"),TODAY()-G11,IF(AND(G11&lt;&gt;"",H11="Cloture"),TODAY()-G11,""))</f>
        <v/>
      </c>
      <c r="J11" s="28"/>
      <c r="K11" s="28"/>
      <c r="L11" s="28"/>
      <c r="M11" s="32"/>
      <c r="N11" s="30"/>
      <c r="O11" s="33" t="str">
        <f aca="false">IF(G11&lt;&gt;"",TEXT(G11,"MMMM YYYY"),"")</f>
        <v/>
      </c>
      <c r="P11" s="33" t="str">
        <f aca="false">IF(G11&lt;&gt;"",YEAR(G11),"")</f>
        <v/>
      </c>
    </row>
    <row r="12" customFormat="false" ht="21.75" hidden="false" customHeight="true" outlineLevel="0" collapsed="false">
      <c r="A12" s="34" t="str">
        <f aca="false">IF(B12&lt;&gt;"",ROW()-2,"")</f>
        <v/>
      </c>
      <c r="B12" s="35"/>
      <c r="C12" s="35"/>
      <c r="D12" s="35"/>
      <c r="E12" s="35"/>
      <c r="F12" s="35"/>
      <c r="G12" s="36"/>
      <c r="H12" s="37"/>
      <c r="I12" s="31" t="str">
        <f aca="true">IF(AND(G12&lt;&gt;"",H12="En cours"),TODAY()-G12,IF(AND(G12&lt;&gt;"",H12="Cloture"),TODAY()-G12,""))</f>
        <v/>
      </c>
      <c r="J12" s="35"/>
      <c r="K12" s="35"/>
      <c r="L12" s="35"/>
      <c r="M12" s="38"/>
      <c r="N12" s="37"/>
      <c r="O12" s="33" t="str">
        <f aca="false">IF(G12&lt;&gt;"",TEXT(G12,"MMMM YYYY"),"")</f>
        <v/>
      </c>
      <c r="P12" s="33" t="str">
        <f aca="false">IF(G12&lt;&gt;"",YEAR(G12),"")</f>
        <v/>
      </c>
    </row>
    <row r="13" customFormat="false" ht="21.75" hidden="false" customHeight="true" outlineLevel="0" collapsed="false">
      <c r="A13" s="27" t="str">
        <f aca="false">IF(B13&lt;&gt;"",ROW()-2,"")</f>
        <v/>
      </c>
      <c r="B13" s="28"/>
      <c r="C13" s="28"/>
      <c r="D13" s="28"/>
      <c r="E13" s="28"/>
      <c r="F13" s="28"/>
      <c r="G13" s="29"/>
      <c r="H13" s="30"/>
      <c r="I13" s="31" t="str">
        <f aca="true">IF(AND(G13&lt;&gt;"",H13="En cours"),TODAY()-G13,IF(AND(G13&lt;&gt;"",H13="Cloture"),TODAY()-G13,""))</f>
        <v/>
      </c>
      <c r="J13" s="28"/>
      <c r="K13" s="28"/>
      <c r="L13" s="28"/>
      <c r="M13" s="32"/>
      <c r="N13" s="30"/>
      <c r="O13" s="33" t="str">
        <f aca="false">IF(G13&lt;&gt;"",TEXT(G13,"MMMM YYYY"),"")</f>
        <v/>
      </c>
      <c r="P13" s="33" t="str">
        <f aca="false">IF(G13&lt;&gt;"",YEAR(G13),"")</f>
        <v/>
      </c>
    </row>
    <row r="14" customFormat="false" ht="21.75" hidden="false" customHeight="true" outlineLevel="0" collapsed="false">
      <c r="A14" s="34" t="str">
        <f aca="false">IF(B14&lt;&gt;"",ROW()-2,"")</f>
        <v/>
      </c>
      <c r="B14" s="35"/>
      <c r="C14" s="35"/>
      <c r="D14" s="35"/>
      <c r="E14" s="35"/>
      <c r="F14" s="35"/>
      <c r="G14" s="36"/>
      <c r="H14" s="37"/>
      <c r="I14" s="31" t="str">
        <f aca="true">IF(AND(G14&lt;&gt;"",H14="En cours"),TODAY()-G14,IF(AND(G14&lt;&gt;"",H14="Cloture"),TODAY()-G14,""))</f>
        <v/>
      </c>
      <c r="J14" s="35"/>
      <c r="K14" s="35"/>
      <c r="L14" s="35"/>
      <c r="M14" s="38"/>
      <c r="N14" s="37"/>
      <c r="O14" s="33" t="str">
        <f aca="false">IF(G14&lt;&gt;"",TEXT(G14,"MMMM YYYY"),"")</f>
        <v/>
      </c>
      <c r="P14" s="33" t="str">
        <f aca="false">IF(G14&lt;&gt;"",YEAR(G14),"")</f>
        <v/>
      </c>
    </row>
    <row r="15" customFormat="false" ht="21.75" hidden="false" customHeight="true" outlineLevel="0" collapsed="false">
      <c r="A15" s="27" t="str">
        <f aca="false">IF(B15&lt;&gt;"",ROW()-2,"")</f>
        <v/>
      </c>
      <c r="B15" s="28"/>
      <c r="C15" s="28"/>
      <c r="D15" s="28"/>
      <c r="E15" s="28"/>
      <c r="F15" s="28"/>
      <c r="G15" s="29"/>
      <c r="H15" s="30"/>
      <c r="I15" s="31" t="str">
        <f aca="true">IF(AND(G15&lt;&gt;"",H15="En cours"),TODAY()-G15,IF(AND(G15&lt;&gt;"",H15="Cloture"),TODAY()-G15,""))</f>
        <v/>
      </c>
      <c r="J15" s="28"/>
      <c r="K15" s="28"/>
      <c r="L15" s="28"/>
      <c r="M15" s="32"/>
      <c r="N15" s="30"/>
      <c r="O15" s="33" t="str">
        <f aca="false">IF(G15&lt;&gt;"",TEXT(G15,"MMMM YYYY"),"")</f>
        <v/>
      </c>
      <c r="P15" s="33" t="str">
        <f aca="false">IF(G15&lt;&gt;"",YEAR(G15),"")</f>
        <v/>
      </c>
    </row>
    <row r="16" customFormat="false" ht="21.75" hidden="false" customHeight="true" outlineLevel="0" collapsed="false">
      <c r="A16" s="34" t="str">
        <f aca="false">IF(B16&lt;&gt;"",ROW()-2,"")</f>
        <v/>
      </c>
      <c r="B16" s="35"/>
      <c r="C16" s="35"/>
      <c r="D16" s="35"/>
      <c r="E16" s="35"/>
      <c r="F16" s="35"/>
      <c r="G16" s="36"/>
      <c r="H16" s="37"/>
      <c r="I16" s="31" t="str">
        <f aca="true">IF(AND(G16&lt;&gt;"",H16="En cours"),TODAY()-G16,IF(AND(G16&lt;&gt;"",H16="Cloture"),TODAY()-G16,""))</f>
        <v/>
      </c>
      <c r="J16" s="35"/>
      <c r="K16" s="35"/>
      <c r="L16" s="35"/>
      <c r="M16" s="38"/>
      <c r="N16" s="37"/>
      <c r="O16" s="33" t="str">
        <f aca="false">IF(G16&lt;&gt;"",TEXT(G16,"MMMM YYYY"),"")</f>
        <v/>
      </c>
      <c r="P16" s="33" t="str">
        <f aca="false">IF(G16&lt;&gt;"",YEAR(G16),"")</f>
        <v/>
      </c>
    </row>
    <row r="17" customFormat="false" ht="21.75" hidden="false" customHeight="true" outlineLevel="0" collapsed="false">
      <c r="A17" s="27" t="str">
        <f aca="false">IF(B17&lt;&gt;"",ROW()-2,"")</f>
        <v/>
      </c>
      <c r="B17" s="28"/>
      <c r="C17" s="28"/>
      <c r="D17" s="28"/>
      <c r="E17" s="28"/>
      <c r="F17" s="28"/>
      <c r="G17" s="29"/>
      <c r="H17" s="30"/>
      <c r="I17" s="31" t="str">
        <f aca="true">IF(AND(G17&lt;&gt;"",H17="En cours"),TODAY()-G17,IF(AND(G17&lt;&gt;"",H17="Cloture"),TODAY()-G17,""))</f>
        <v/>
      </c>
      <c r="J17" s="28"/>
      <c r="K17" s="28"/>
      <c r="L17" s="28"/>
      <c r="M17" s="32"/>
      <c r="N17" s="30"/>
      <c r="O17" s="33" t="str">
        <f aca="false">IF(G17&lt;&gt;"",TEXT(G17,"MMMM YYYY"),"")</f>
        <v/>
      </c>
      <c r="P17" s="33" t="str">
        <f aca="false">IF(G17&lt;&gt;"",YEAR(G17),"")</f>
        <v/>
      </c>
    </row>
    <row r="18" customFormat="false" ht="21.75" hidden="false" customHeight="true" outlineLevel="0" collapsed="false">
      <c r="A18" s="34" t="str">
        <f aca="false">IF(B18&lt;&gt;"",ROW()-2,"")</f>
        <v/>
      </c>
      <c r="B18" s="35"/>
      <c r="C18" s="35"/>
      <c r="D18" s="35"/>
      <c r="E18" s="35"/>
      <c r="F18" s="35"/>
      <c r="G18" s="36"/>
      <c r="H18" s="37"/>
      <c r="I18" s="31" t="str">
        <f aca="true">IF(AND(G18&lt;&gt;"",H18="En cours"),TODAY()-G18,IF(AND(G18&lt;&gt;"",H18="Cloture"),TODAY()-G18,""))</f>
        <v/>
      </c>
      <c r="J18" s="35"/>
      <c r="K18" s="35"/>
      <c r="L18" s="35"/>
      <c r="M18" s="38"/>
      <c r="N18" s="37"/>
      <c r="O18" s="33" t="str">
        <f aca="false">IF(G18&lt;&gt;"",TEXT(G18,"MMMM YYYY"),"")</f>
        <v/>
      </c>
      <c r="P18" s="33" t="str">
        <f aca="false">IF(G18&lt;&gt;"",YEAR(G18),"")</f>
        <v/>
      </c>
    </row>
    <row r="19" customFormat="false" ht="21.75" hidden="false" customHeight="true" outlineLevel="0" collapsed="false">
      <c r="A19" s="27" t="str">
        <f aca="false">IF(B19&lt;&gt;"",ROW()-2,"")</f>
        <v/>
      </c>
      <c r="B19" s="28"/>
      <c r="C19" s="28"/>
      <c r="D19" s="28"/>
      <c r="E19" s="28"/>
      <c r="F19" s="28"/>
      <c r="G19" s="29"/>
      <c r="H19" s="30"/>
      <c r="I19" s="31" t="str">
        <f aca="true">IF(AND(G19&lt;&gt;"",H19="En cours"),TODAY()-G19,IF(AND(G19&lt;&gt;"",H19="Cloture"),TODAY()-G19,""))</f>
        <v/>
      </c>
      <c r="J19" s="28"/>
      <c r="K19" s="28"/>
      <c r="L19" s="28"/>
      <c r="M19" s="32"/>
      <c r="N19" s="30"/>
      <c r="O19" s="33" t="str">
        <f aca="false">IF(G19&lt;&gt;"",TEXT(G19,"MMMM YYYY"),"")</f>
        <v/>
      </c>
      <c r="P19" s="33" t="str">
        <f aca="false">IF(G19&lt;&gt;"",YEAR(G19),"")</f>
        <v/>
      </c>
    </row>
    <row r="20" customFormat="false" ht="21.75" hidden="false" customHeight="true" outlineLevel="0" collapsed="false">
      <c r="A20" s="34" t="str">
        <f aca="false">IF(B20&lt;&gt;"",ROW()-2,"")</f>
        <v/>
      </c>
      <c r="B20" s="35"/>
      <c r="C20" s="35"/>
      <c r="D20" s="35"/>
      <c r="E20" s="35"/>
      <c r="F20" s="35"/>
      <c r="G20" s="36"/>
      <c r="H20" s="37"/>
      <c r="I20" s="31" t="str">
        <f aca="true">IF(AND(G20&lt;&gt;"",H20="En cours"),TODAY()-G20,IF(AND(G20&lt;&gt;"",H20="Cloture"),TODAY()-G20,""))</f>
        <v/>
      </c>
      <c r="J20" s="35"/>
      <c r="K20" s="35"/>
      <c r="L20" s="35"/>
      <c r="M20" s="38"/>
      <c r="N20" s="37"/>
      <c r="O20" s="33" t="str">
        <f aca="false">IF(G20&lt;&gt;"",TEXT(G20,"MMMM YYYY"),"")</f>
        <v/>
      </c>
      <c r="P20" s="33" t="str">
        <f aca="false">IF(G20&lt;&gt;"",YEAR(G20),"")</f>
        <v/>
      </c>
    </row>
    <row r="21" customFormat="false" ht="21.75" hidden="false" customHeight="true" outlineLevel="0" collapsed="false">
      <c r="A21" s="27" t="str">
        <f aca="false">IF(B21&lt;&gt;"",ROW()-2,"")</f>
        <v/>
      </c>
      <c r="B21" s="28"/>
      <c r="C21" s="28"/>
      <c r="D21" s="28"/>
      <c r="E21" s="28"/>
      <c r="F21" s="28"/>
      <c r="G21" s="29"/>
      <c r="H21" s="30"/>
      <c r="I21" s="31" t="str">
        <f aca="true">IF(AND(G21&lt;&gt;"",H21="En cours"),TODAY()-G21,IF(AND(G21&lt;&gt;"",H21="Cloture"),TODAY()-G21,""))</f>
        <v/>
      </c>
      <c r="J21" s="28"/>
      <c r="K21" s="28"/>
      <c r="L21" s="28"/>
      <c r="M21" s="32"/>
      <c r="N21" s="30"/>
      <c r="O21" s="33" t="str">
        <f aca="false">IF(G21&lt;&gt;"",TEXT(G21,"MMMM YYYY"),"")</f>
        <v/>
      </c>
      <c r="P21" s="33" t="str">
        <f aca="false">IF(G21&lt;&gt;"",YEAR(G21),"")</f>
        <v/>
      </c>
    </row>
    <row r="22" customFormat="false" ht="21.75" hidden="false" customHeight="true" outlineLevel="0" collapsed="false">
      <c r="A22" s="34" t="str">
        <f aca="false">IF(B22&lt;&gt;"",ROW()-2,"")</f>
        <v/>
      </c>
      <c r="B22" s="35"/>
      <c r="C22" s="35"/>
      <c r="D22" s="35"/>
      <c r="E22" s="35"/>
      <c r="F22" s="35"/>
      <c r="G22" s="36"/>
      <c r="H22" s="37"/>
      <c r="I22" s="31" t="str">
        <f aca="true">IF(AND(G22&lt;&gt;"",H22="En cours"),TODAY()-G22,IF(AND(G22&lt;&gt;"",H22="Cloture"),TODAY()-G22,""))</f>
        <v/>
      </c>
      <c r="J22" s="35"/>
      <c r="K22" s="35"/>
      <c r="L22" s="35"/>
      <c r="M22" s="38"/>
      <c r="N22" s="37"/>
      <c r="O22" s="33" t="str">
        <f aca="false">IF(G22&lt;&gt;"",TEXT(G22,"MMMM YYYY"),"")</f>
        <v/>
      </c>
      <c r="P22" s="33" t="str">
        <f aca="false">IF(G22&lt;&gt;"",YEAR(G22),"")</f>
        <v/>
      </c>
    </row>
    <row r="23" customFormat="false" ht="21.75" hidden="false" customHeight="true" outlineLevel="0" collapsed="false">
      <c r="A23" s="27" t="str">
        <f aca="false">IF(B23&lt;&gt;"",ROW()-2,"")</f>
        <v/>
      </c>
      <c r="B23" s="28"/>
      <c r="C23" s="28"/>
      <c r="D23" s="28"/>
      <c r="E23" s="28"/>
      <c r="F23" s="28"/>
      <c r="G23" s="29"/>
      <c r="H23" s="30"/>
      <c r="I23" s="31" t="str">
        <f aca="true">IF(AND(G23&lt;&gt;"",H23="En cours"),TODAY()-G23,IF(AND(G23&lt;&gt;"",H23="Cloture"),TODAY()-G23,""))</f>
        <v/>
      </c>
      <c r="J23" s="28"/>
      <c r="K23" s="28"/>
      <c r="L23" s="28"/>
      <c r="M23" s="32"/>
      <c r="N23" s="30"/>
      <c r="O23" s="33" t="str">
        <f aca="false">IF(G23&lt;&gt;"",TEXT(G23,"MMMM YYYY"),"")</f>
        <v/>
      </c>
      <c r="P23" s="33" t="str">
        <f aca="false">IF(G23&lt;&gt;"",YEAR(G23),"")</f>
        <v/>
      </c>
    </row>
    <row r="24" customFormat="false" ht="21.75" hidden="false" customHeight="true" outlineLevel="0" collapsed="false">
      <c r="A24" s="34" t="str">
        <f aca="false">IF(B24&lt;&gt;"",ROW()-2,"")</f>
        <v/>
      </c>
      <c r="B24" s="35"/>
      <c r="C24" s="35"/>
      <c r="D24" s="35"/>
      <c r="E24" s="35"/>
      <c r="F24" s="35"/>
      <c r="G24" s="36"/>
      <c r="H24" s="37"/>
      <c r="I24" s="31" t="str">
        <f aca="true">IF(AND(G24&lt;&gt;"",H24="En cours"),TODAY()-G24,IF(AND(G24&lt;&gt;"",H24="Cloture"),TODAY()-G24,""))</f>
        <v/>
      </c>
      <c r="J24" s="35"/>
      <c r="K24" s="35"/>
      <c r="L24" s="35"/>
      <c r="M24" s="38"/>
      <c r="N24" s="37"/>
      <c r="O24" s="33" t="str">
        <f aca="false">IF(G24&lt;&gt;"",TEXT(G24,"MMMM YYYY"),"")</f>
        <v/>
      </c>
      <c r="P24" s="33" t="str">
        <f aca="false">IF(G24&lt;&gt;"",YEAR(G24),"")</f>
        <v/>
      </c>
    </row>
    <row r="25" customFormat="false" ht="21.75" hidden="false" customHeight="true" outlineLevel="0" collapsed="false">
      <c r="A25" s="27" t="str">
        <f aca="false">IF(B25&lt;&gt;"",ROW()-2,"")</f>
        <v/>
      </c>
      <c r="B25" s="28"/>
      <c r="C25" s="28"/>
      <c r="D25" s="28"/>
      <c r="E25" s="28"/>
      <c r="F25" s="28"/>
      <c r="G25" s="29"/>
      <c r="H25" s="30"/>
      <c r="I25" s="31" t="str">
        <f aca="true">IF(AND(G25&lt;&gt;"",H25="En cours"),TODAY()-G25,IF(AND(G25&lt;&gt;"",H25="Cloture"),TODAY()-G25,""))</f>
        <v/>
      </c>
      <c r="J25" s="28"/>
      <c r="K25" s="28"/>
      <c r="L25" s="28"/>
      <c r="M25" s="32"/>
      <c r="N25" s="30"/>
      <c r="O25" s="33" t="str">
        <f aca="false">IF(G25&lt;&gt;"",TEXT(G25,"MMMM YYYY"),"")</f>
        <v/>
      </c>
      <c r="P25" s="33" t="str">
        <f aca="false">IF(G25&lt;&gt;"",YEAR(G25),"")</f>
        <v/>
      </c>
    </row>
    <row r="26" customFormat="false" ht="21.75" hidden="false" customHeight="true" outlineLevel="0" collapsed="false">
      <c r="A26" s="34" t="str">
        <f aca="false">IF(B26&lt;&gt;"",ROW()-2,"")</f>
        <v/>
      </c>
      <c r="B26" s="35"/>
      <c r="C26" s="35"/>
      <c r="D26" s="35"/>
      <c r="E26" s="35"/>
      <c r="F26" s="35"/>
      <c r="G26" s="36"/>
      <c r="H26" s="37"/>
      <c r="I26" s="31" t="str">
        <f aca="true">IF(AND(G26&lt;&gt;"",H26="En cours"),TODAY()-G26,IF(AND(G26&lt;&gt;"",H26="Cloture"),TODAY()-G26,""))</f>
        <v/>
      </c>
      <c r="J26" s="35"/>
      <c r="K26" s="35"/>
      <c r="L26" s="35"/>
      <c r="M26" s="38"/>
      <c r="N26" s="37"/>
      <c r="O26" s="33" t="str">
        <f aca="false">IF(G26&lt;&gt;"",TEXT(G26,"MMMM YYYY"),"")</f>
        <v/>
      </c>
      <c r="P26" s="33" t="str">
        <f aca="false">IF(G26&lt;&gt;"",YEAR(G26),"")</f>
        <v/>
      </c>
    </row>
    <row r="27" customFormat="false" ht="21.75" hidden="false" customHeight="true" outlineLevel="0" collapsed="false">
      <c r="A27" s="27" t="str">
        <f aca="false">IF(B27&lt;&gt;"",ROW()-2,"")</f>
        <v/>
      </c>
      <c r="B27" s="28"/>
      <c r="C27" s="28"/>
      <c r="D27" s="28"/>
      <c r="E27" s="28"/>
      <c r="F27" s="28"/>
      <c r="G27" s="29"/>
      <c r="H27" s="30"/>
      <c r="I27" s="31" t="str">
        <f aca="true">IF(AND(G27&lt;&gt;"",H27="En cours"),TODAY()-G27,IF(AND(G27&lt;&gt;"",H27="Cloture"),TODAY()-G27,""))</f>
        <v/>
      </c>
      <c r="J27" s="28"/>
      <c r="K27" s="28"/>
      <c r="L27" s="28"/>
      <c r="M27" s="32"/>
      <c r="N27" s="30"/>
      <c r="O27" s="33" t="str">
        <f aca="false">IF(G27&lt;&gt;"",TEXT(G27,"MMMM YYYY"),"")</f>
        <v/>
      </c>
      <c r="P27" s="33" t="str">
        <f aca="false">IF(G27&lt;&gt;"",YEAR(G27),"")</f>
        <v/>
      </c>
    </row>
    <row r="28" customFormat="false" ht="21.75" hidden="false" customHeight="true" outlineLevel="0" collapsed="false">
      <c r="A28" s="34" t="str">
        <f aca="false">IF(B28&lt;&gt;"",ROW()-2,"")</f>
        <v/>
      </c>
      <c r="B28" s="35"/>
      <c r="C28" s="35"/>
      <c r="D28" s="35"/>
      <c r="E28" s="35"/>
      <c r="F28" s="35"/>
      <c r="G28" s="36"/>
      <c r="H28" s="37"/>
      <c r="I28" s="31" t="str">
        <f aca="true">IF(AND(G28&lt;&gt;"",H28="En cours"),TODAY()-G28,IF(AND(G28&lt;&gt;"",H28="Cloture"),TODAY()-G28,""))</f>
        <v/>
      </c>
      <c r="J28" s="35"/>
      <c r="K28" s="35"/>
      <c r="L28" s="35"/>
      <c r="M28" s="38"/>
      <c r="N28" s="37"/>
      <c r="O28" s="33" t="str">
        <f aca="false">IF(G28&lt;&gt;"",TEXT(G28,"MMMM YYYY"),"")</f>
        <v/>
      </c>
      <c r="P28" s="33" t="str">
        <f aca="false">IF(G28&lt;&gt;"",YEAR(G28),"")</f>
        <v/>
      </c>
    </row>
    <row r="29" customFormat="false" ht="21.75" hidden="false" customHeight="true" outlineLevel="0" collapsed="false">
      <c r="A29" s="27" t="str">
        <f aca="false">IF(B29&lt;&gt;"",ROW()-2,"")</f>
        <v/>
      </c>
      <c r="B29" s="28"/>
      <c r="C29" s="28"/>
      <c r="D29" s="28"/>
      <c r="E29" s="28"/>
      <c r="F29" s="28"/>
      <c r="G29" s="29"/>
      <c r="H29" s="30"/>
      <c r="I29" s="31" t="str">
        <f aca="true">IF(AND(G29&lt;&gt;"",H29="En cours"),TODAY()-G29,IF(AND(G29&lt;&gt;"",H29="Cloture"),TODAY()-G29,""))</f>
        <v/>
      </c>
      <c r="J29" s="28"/>
      <c r="K29" s="28"/>
      <c r="L29" s="28"/>
      <c r="M29" s="32"/>
      <c r="N29" s="30"/>
      <c r="O29" s="33" t="str">
        <f aca="false">IF(G29&lt;&gt;"",TEXT(G29,"MMMM YYYY"),"")</f>
        <v/>
      </c>
      <c r="P29" s="33" t="str">
        <f aca="false">IF(G29&lt;&gt;"",YEAR(G29),"")</f>
        <v/>
      </c>
    </row>
    <row r="30" customFormat="false" ht="21.75" hidden="false" customHeight="true" outlineLevel="0" collapsed="false">
      <c r="A30" s="34" t="str">
        <f aca="false">IF(B30&lt;&gt;"",ROW()-2,"")</f>
        <v/>
      </c>
      <c r="B30" s="35"/>
      <c r="C30" s="35"/>
      <c r="D30" s="35"/>
      <c r="E30" s="35"/>
      <c r="F30" s="35"/>
      <c r="G30" s="36"/>
      <c r="H30" s="37"/>
      <c r="I30" s="31" t="str">
        <f aca="true">IF(AND(G30&lt;&gt;"",H30="En cours"),TODAY()-G30,IF(AND(G30&lt;&gt;"",H30="Cloture"),TODAY()-G30,""))</f>
        <v/>
      </c>
      <c r="J30" s="35"/>
      <c r="K30" s="35"/>
      <c r="L30" s="35"/>
      <c r="M30" s="38"/>
      <c r="N30" s="37"/>
      <c r="O30" s="33" t="str">
        <f aca="false">IF(G30&lt;&gt;"",TEXT(G30,"MMMM YYYY"),"")</f>
        <v/>
      </c>
      <c r="P30" s="33" t="str">
        <f aca="false">IF(G30&lt;&gt;"",YEAR(G30),"")</f>
        <v/>
      </c>
    </row>
    <row r="31" customFormat="false" ht="21.75" hidden="false" customHeight="true" outlineLevel="0" collapsed="false">
      <c r="A31" s="27" t="str">
        <f aca="false">IF(B31&lt;&gt;"",ROW()-2,"")</f>
        <v/>
      </c>
      <c r="B31" s="28"/>
      <c r="C31" s="28"/>
      <c r="D31" s="28"/>
      <c r="E31" s="28"/>
      <c r="F31" s="28"/>
      <c r="G31" s="29"/>
      <c r="H31" s="30"/>
      <c r="I31" s="31" t="str">
        <f aca="true">IF(AND(G31&lt;&gt;"",H31="En cours"),TODAY()-G31,IF(AND(G31&lt;&gt;"",H31="Cloture"),TODAY()-G31,""))</f>
        <v/>
      </c>
      <c r="J31" s="28"/>
      <c r="K31" s="28"/>
      <c r="L31" s="28"/>
      <c r="M31" s="32"/>
      <c r="N31" s="30"/>
      <c r="O31" s="33" t="str">
        <f aca="false">IF(G31&lt;&gt;"",TEXT(G31,"MMMM YYYY"),"")</f>
        <v/>
      </c>
      <c r="P31" s="33" t="str">
        <f aca="false">IF(G31&lt;&gt;"",YEAR(G31),"")</f>
        <v/>
      </c>
    </row>
    <row r="32" customFormat="false" ht="21.75" hidden="false" customHeight="true" outlineLevel="0" collapsed="false">
      <c r="A32" s="34" t="str">
        <f aca="false">IF(B32&lt;&gt;"",ROW()-2,"")</f>
        <v/>
      </c>
      <c r="B32" s="35"/>
      <c r="C32" s="35"/>
      <c r="D32" s="35"/>
      <c r="E32" s="35"/>
      <c r="F32" s="35"/>
      <c r="G32" s="36"/>
      <c r="H32" s="37"/>
      <c r="I32" s="31" t="str">
        <f aca="true">IF(AND(G32&lt;&gt;"",H32="En cours"),TODAY()-G32,IF(AND(G32&lt;&gt;"",H32="Cloture"),TODAY()-G32,""))</f>
        <v/>
      </c>
      <c r="J32" s="35"/>
      <c r="K32" s="35"/>
      <c r="L32" s="35"/>
      <c r="M32" s="38"/>
      <c r="N32" s="37"/>
      <c r="O32" s="33" t="str">
        <f aca="false">IF(G32&lt;&gt;"",TEXT(G32,"MMMM YYYY"),"")</f>
        <v/>
      </c>
      <c r="P32" s="33" t="str">
        <f aca="false">IF(G32&lt;&gt;"",YEAR(G32),"")</f>
        <v/>
      </c>
    </row>
    <row r="33" customFormat="false" ht="21.75" hidden="false" customHeight="true" outlineLevel="0" collapsed="false">
      <c r="A33" s="27" t="str">
        <f aca="false">IF(B33&lt;&gt;"",ROW()-2,"")</f>
        <v/>
      </c>
      <c r="B33" s="28"/>
      <c r="C33" s="28"/>
      <c r="D33" s="28"/>
      <c r="E33" s="28"/>
      <c r="F33" s="28"/>
      <c r="G33" s="29"/>
      <c r="H33" s="30"/>
      <c r="I33" s="31" t="str">
        <f aca="true">IF(AND(G33&lt;&gt;"",H33="En cours"),TODAY()-G33,IF(AND(G33&lt;&gt;"",H33="Cloture"),TODAY()-G33,""))</f>
        <v/>
      </c>
      <c r="J33" s="28"/>
      <c r="K33" s="28"/>
      <c r="L33" s="28"/>
      <c r="M33" s="32"/>
      <c r="N33" s="30"/>
      <c r="O33" s="33" t="str">
        <f aca="false">IF(G33&lt;&gt;"",TEXT(G33,"MMMM YYYY"),"")</f>
        <v/>
      </c>
      <c r="P33" s="33" t="str">
        <f aca="false">IF(G33&lt;&gt;"",YEAR(G33),"")</f>
        <v/>
      </c>
    </row>
    <row r="34" customFormat="false" ht="21.75" hidden="false" customHeight="true" outlineLevel="0" collapsed="false">
      <c r="A34" s="34" t="str">
        <f aca="false">IF(B34&lt;&gt;"",ROW()-2,"")</f>
        <v/>
      </c>
      <c r="B34" s="35"/>
      <c r="C34" s="35"/>
      <c r="D34" s="35"/>
      <c r="E34" s="35"/>
      <c r="F34" s="35"/>
      <c r="G34" s="36"/>
      <c r="H34" s="37"/>
      <c r="I34" s="31" t="str">
        <f aca="true">IF(AND(G34&lt;&gt;"",H34="En cours"),TODAY()-G34,IF(AND(G34&lt;&gt;"",H34="Cloture"),TODAY()-G34,""))</f>
        <v/>
      </c>
      <c r="J34" s="35"/>
      <c r="K34" s="35"/>
      <c r="L34" s="35"/>
      <c r="M34" s="38"/>
      <c r="N34" s="37"/>
      <c r="O34" s="33" t="str">
        <f aca="false">IF(G34&lt;&gt;"",TEXT(G34,"MMMM YYYY"),"")</f>
        <v/>
      </c>
      <c r="P34" s="33" t="str">
        <f aca="false">IF(G34&lt;&gt;"",YEAR(G34),"")</f>
        <v/>
      </c>
    </row>
    <row r="35" customFormat="false" ht="21.75" hidden="false" customHeight="true" outlineLevel="0" collapsed="false">
      <c r="A35" s="27" t="str">
        <f aca="false">IF(B35&lt;&gt;"",ROW()-2,"")</f>
        <v/>
      </c>
      <c r="B35" s="28"/>
      <c r="C35" s="28"/>
      <c r="D35" s="28"/>
      <c r="E35" s="28"/>
      <c r="F35" s="28"/>
      <c r="G35" s="29"/>
      <c r="H35" s="30"/>
      <c r="I35" s="31" t="str">
        <f aca="true">IF(AND(G35&lt;&gt;"",H35="En cours"),TODAY()-G35,IF(AND(G35&lt;&gt;"",H35="Cloture"),TODAY()-G35,""))</f>
        <v/>
      </c>
      <c r="J35" s="28"/>
      <c r="K35" s="28"/>
      <c r="L35" s="28"/>
      <c r="M35" s="32"/>
      <c r="N35" s="30"/>
      <c r="O35" s="33" t="str">
        <f aca="false">IF(G35&lt;&gt;"",TEXT(G35,"MMMM YYYY"),"")</f>
        <v/>
      </c>
      <c r="P35" s="33" t="str">
        <f aca="false">IF(G35&lt;&gt;"",YEAR(G35),"")</f>
        <v/>
      </c>
    </row>
    <row r="36" customFormat="false" ht="21.75" hidden="false" customHeight="true" outlineLevel="0" collapsed="false">
      <c r="A36" s="34" t="str">
        <f aca="false">IF(B36&lt;&gt;"",ROW()-2,"")</f>
        <v/>
      </c>
      <c r="B36" s="35"/>
      <c r="C36" s="35"/>
      <c r="D36" s="35"/>
      <c r="E36" s="35"/>
      <c r="F36" s="35"/>
      <c r="G36" s="36"/>
      <c r="H36" s="37"/>
      <c r="I36" s="31" t="str">
        <f aca="true">IF(AND(G36&lt;&gt;"",H36="En cours"),TODAY()-G36,IF(AND(G36&lt;&gt;"",H36="Cloture"),TODAY()-G36,""))</f>
        <v/>
      </c>
      <c r="J36" s="35"/>
      <c r="K36" s="35"/>
      <c r="L36" s="35"/>
      <c r="M36" s="38"/>
      <c r="N36" s="37"/>
      <c r="O36" s="33" t="str">
        <f aca="false">IF(G36&lt;&gt;"",TEXT(G36,"MMMM YYYY"),"")</f>
        <v/>
      </c>
      <c r="P36" s="33" t="str">
        <f aca="false">IF(G36&lt;&gt;"",YEAR(G36),"")</f>
        <v/>
      </c>
    </row>
    <row r="37" customFormat="false" ht="21.75" hidden="false" customHeight="true" outlineLevel="0" collapsed="false">
      <c r="A37" s="27" t="str">
        <f aca="false">IF(B37&lt;&gt;"",ROW()-2,"")</f>
        <v/>
      </c>
      <c r="B37" s="28"/>
      <c r="C37" s="28"/>
      <c r="D37" s="28"/>
      <c r="E37" s="28"/>
      <c r="F37" s="28"/>
      <c r="G37" s="29"/>
      <c r="H37" s="30"/>
      <c r="I37" s="31" t="str">
        <f aca="true">IF(AND(G37&lt;&gt;"",H37="En cours"),TODAY()-G37,IF(AND(G37&lt;&gt;"",H37="Cloture"),TODAY()-G37,""))</f>
        <v/>
      </c>
      <c r="J37" s="28"/>
      <c r="K37" s="28"/>
      <c r="L37" s="28"/>
      <c r="M37" s="32"/>
      <c r="N37" s="30"/>
      <c r="O37" s="33" t="str">
        <f aca="false">IF(G37&lt;&gt;"",TEXT(G37,"MMMM YYYY"),"")</f>
        <v/>
      </c>
      <c r="P37" s="33" t="str">
        <f aca="false">IF(G37&lt;&gt;"",YEAR(G37),"")</f>
        <v/>
      </c>
    </row>
    <row r="38" customFormat="false" ht="21.75" hidden="false" customHeight="true" outlineLevel="0" collapsed="false">
      <c r="A38" s="34" t="str">
        <f aca="false">IF(B38&lt;&gt;"",ROW()-2,"")</f>
        <v/>
      </c>
      <c r="B38" s="35"/>
      <c r="C38" s="35"/>
      <c r="D38" s="35"/>
      <c r="E38" s="35"/>
      <c r="F38" s="35"/>
      <c r="G38" s="36"/>
      <c r="H38" s="37"/>
      <c r="I38" s="31" t="str">
        <f aca="true">IF(AND(G38&lt;&gt;"",H38="En cours"),TODAY()-G38,IF(AND(G38&lt;&gt;"",H38="Cloture"),TODAY()-G38,""))</f>
        <v/>
      </c>
      <c r="J38" s="35"/>
      <c r="K38" s="35"/>
      <c r="L38" s="35"/>
      <c r="M38" s="38"/>
      <c r="N38" s="37"/>
      <c r="O38" s="33" t="str">
        <f aca="false">IF(G38&lt;&gt;"",TEXT(G38,"MMMM YYYY"),"")</f>
        <v/>
      </c>
      <c r="P38" s="33" t="str">
        <f aca="false">IF(G38&lt;&gt;"",YEAR(G38),"")</f>
        <v/>
      </c>
    </row>
    <row r="39" customFormat="false" ht="21.75" hidden="false" customHeight="true" outlineLevel="0" collapsed="false">
      <c r="A39" s="27" t="str">
        <f aca="false">IF(B39&lt;&gt;"",ROW()-2,"")</f>
        <v/>
      </c>
      <c r="B39" s="28"/>
      <c r="C39" s="28"/>
      <c r="D39" s="28"/>
      <c r="E39" s="28"/>
      <c r="F39" s="28"/>
      <c r="G39" s="29"/>
      <c r="H39" s="30"/>
      <c r="I39" s="31" t="str">
        <f aca="true">IF(AND(G39&lt;&gt;"",H39="En cours"),TODAY()-G39,IF(AND(G39&lt;&gt;"",H39="Cloture"),TODAY()-G39,""))</f>
        <v/>
      </c>
      <c r="J39" s="28"/>
      <c r="K39" s="28"/>
      <c r="L39" s="28"/>
      <c r="M39" s="32"/>
      <c r="N39" s="30"/>
      <c r="O39" s="33" t="str">
        <f aca="false">IF(G39&lt;&gt;"",TEXT(G39,"MMMM YYYY"),"")</f>
        <v/>
      </c>
      <c r="P39" s="33" t="str">
        <f aca="false">IF(G39&lt;&gt;"",YEAR(G39),"")</f>
        <v/>
      </c>
    </row>
    <row r="40" customFormat="false" ht="21.75" hidden="false" customHeight="true" outlineLevel="0" collapsed="false">
      <c r="A40" s="34" t="str">
        <f aca="false">IF(B40&lt;&gt;"",ROW()-2,"")</f>
        <v/>
      </c>
      <c r="B40" s="35"/>
      <c r="C40" s="35"/>
      <c r="D40" s="35"/>
      <c r="E40" s="35"/>
      <c r="F40" s="35"/>
      <c r="G40" s="36"/>
      <c r="H40" s="37"/>
      <c r="I40" s="31" t="str">
        <f aca="true">IF(AND(G40&lt;&gt;"",H40="En cours"),TODAY()-G40,IF(AND(G40&lt;&gt;"",H40="Cloture"),TODAY()-G40,""))</f>
        <v/>
      </c>
      <c r="J40" s="35"/>
      <c r="K40" s="35"/>
      <c r="L40" s="35"/>
      <c r="M40" s="38"/>
      <c r="N40" s="37"/>
      <c r="O40" s="33" t="str">
        <f aca="false">IF(G40&lt;&gt;"",TEXT(G40,"MMMM YYYY"),"")</f>
        <v/>
      </c>
      <c r="P40" s="33" t="str">
        <f aca="false">IF(G40&lt;&gt;"",YEAR(G40),"")</f>
        <v/>
      </c>
    </row>
    <row r="41" customFormat="false" ht="21.75" hidden="false" customHeight="true" outlineLevel="0" collapsed="false">
      <c r="A41" s="27" t="str">
        <f aca="false">IF(B41&lt;&gt;"",ROW()-2,"")</f>
        <v/>
      </c>
      <c r="B41" s="28"/>
      <c r="C41" s="28"/>
      <c r="D41" s="28"/>
      <c r="E41" s="28"/>
      <c r="F41" s="28"/>
      <c r="G41" s="29"/>
      <c r="H41" s="30"/>
      <c r="I41" s="31" t="str">
        <f aca="true">IF(AND(G41&lt;&gt;"",H41="En cours"),TODAY()-G41,IF(AND(G41&lt;&gt;"",H41="Cloture"),TODAY()-G41,""))</f>
        <v/>
      </c>
      <c r="J41" s="28"/>
      <c r="K41" s="28"/>
      <c r="L41" s="28"/>
      <c r="M41" s="32"/>
      <c r="N41" s="30"/>
      <c r="O41" s="33" t="str">
        <f aca="false">IF(G41&lt;&gt;"",TEXT(G41,"MMMM YYYY"),"")</f>
        <v/>
      </c>
      <c r="P41" s="33" t="str">
        <f aca="false">IF(G41&lt;&gt;"",YEAR(G41),"")</f>
        <v/>
      </c>
    </row>
    <row r="42" customFormat="false" ht="21.75" hidden="false" customHeight="true" outlineLevel="0" collapsed="false">
      <c r="A42" s="34" t="str">
        <f aca="false">IF(B42&lt;&gt;"",ROW()-2,"")</f>
        <v/>
      </c>
      <c r="B42" s="35"/>
      <c r="C42" s="35"/>
      <c r="D42" s="35"/>
      <c r="E42" s="35"/>
      <c r="F42" s="35"/>
      <c r="G42" s="36"/>
      <c r="H42" s="37"/>
      <c r="I42" s="31" t="str">
        <f aca="true">IF(AND(G42&lt;&gt;"",H42="En cours"),TODAY()-G42,IF(AND(G42&lt;&gt;"",H42="Cloture"),TODAY()-G42,""))</f>
        <v/>
      </c>
      <c r="J42" s="35"/>
      <c r="K42" s="35"/>
      <c r="L42" s="35"/>
      <c r="M42" s="38"/>
      <c r="N42" s="37"/>
      <c r="O42" s="33" t="str">
        <f aca="false">IF(G42&lt;&gt;"",TEXT(G42,"MMMM YYYY"),"")</f>
        <v/>
      </c>
      <c r="P42" s="33" t="str">
        <f aca="false">IF(G42&lt;&gt;"",YEAR(G42),"")</f>
        <v/>
      </c>
    </row>
    <row r="43" customFormat="false" ht="21.75" hidden="false" customHeight="true" outlineLevel="0" collapsed="false">
      <c r="A43" s="27" t="str">
        <f aca="false">IF(B43&lt;&gt;"",ROW()-2,"")</f>
        <v/>
      </c>
      <c r="B43" s="28"/>
      <c r="C43" s="28"/>
      <c r="D43" s="28"/>
      <c r="E43" s="28"/>
      <c r="F43" s="28"/>
      <c r="G43" s="29"/>
      <c r="H43" s="30"/>
      <c r="I43" s="31" t="str">
        <f aca="true">IF(AND(G43&lt;&gt;"",H43="En cours"),TODAY()-G43,IF(AND(G43&lt;&gt;"",H43="Cloture"),TODAY()-G43,""))</f>
        <v/>
      </c>
      <c r="J43" s="28"/>
      <c r="K43" s="28"/>
      <c r="L43" s="28"/>
      <c r="M43" s="32"/>
      <c r="N43" s="30"/>
      <c r="O43" s="33" t="str">
        <f aca="false">IF(G43&lt;&gt;"",TEXT(G43,"MMMM YYYY"),"")</f>
        <v/>
      </c>
      <c r="P43" s="33" t="str">
        <f aca="false">IF(G43&lt;&gt;"",YEAR(G43),"")</f>
        <v/>
      </c>
    </row>
    <row r="44" customFormat="false" ht="21.75" hidden="false" customHeight="true" outlineLevel="0" collapsed="false">
      <c r="A44" s="34" t="str">
        <f aca="false">IF(B44&lt;&gt;"",ROW()-2,"")</f>
        <v/>
      </c>
      <c r="B44" s="35"/>
      <c r="C44" s="35"/>
      <c r="D44" s="35"/>
      <c r="E44" s="35"/>
      <c r="F44" s="35"/>
      <c r="G44" s="36"/>
      <c r="H44" s="37"/>
      <c r="I44" s="31" t="str">
        <f aca="true">IF(AND(G44&lt;&gt;"",H44="En cours"),TODAY()-G44,IF(AND(G44&lt;&gt;"",H44="Cloture"),TODAY()-G44,""))</f>
        <v/>
      </c>
      <c r="J44" s="35"/>
      <c r="K44" s="35"/>
      <c r="L44" s="35"/>
      <c r="M44" s="38"/>
      <c r="N44" s="37"/>
      <c r="O44" s="33" t="str">
        <f aca="false">IF(G44&lt;&gt;"",TEXT(G44,"MMMM YYYY"),"")</f>
        <v/>
      </c>
      <c r="P44" s="33" t="str">
        <f aca="false">IF(G44&lt;&gt;"",YEAR(G44),"")</f>
        <v/>
      </c>
    </row>
    <row r="45" customFormat="false" ht="21.75" hidden="false" customHeight="true" outlineLevel="0" collapsed="false">
      <c r="A45" s="27" t="str">
        <f aca="false">IF(B45&lt;&gt;"",ROW()-2,"")</f>
        <v/>
      </c>
      <c r="B45" s="28"/>
      <c r="C45" s="28"/>
      <c r="D45" s="28"/>
      <c r="E45" s="28"/>
      <c r="F45" s="28"/>
      <c r="G45" s="29"/>
      <c r="H45" s="30"/>
      <c r="I45" s="31" t="str">
        <f aca="true">IF(AND(G45&lt;&gt;"",H45="En cours"),TODAY()-G45,IF(AND(G45&lt;&gt;"",H45="Cloture"),TODAY()-G45,""))</f>
        <v/>
      </c>
      <c r="J45" s="28"/>
      <c r="K45" s="28"/>
      <c r="L45" s="28"/>
      <c r="M45" s="32"/>
      <c r="N45" s="30"/>
      <c r="O45" s="33" t="str">
        <f aca="false">IF(G45&lt;&gt;"",TEXT(G45,"MMMM YYYY"),"")</f>
        <v/>
      </c>
      <c r="P45" s="33" t="str">
        <f aca="false">IF(G45&lt;&gt;"",YEAR(G45),"")</f>
        <v/>
      </c>
    </row>
    <row r="46" customFormat="false" ht="21.75" hidden="false" customHeight="true" outlineLevel="0" collapsed="false">
      <c r="A46" s="34" t="str">
        <f aca="false">IF(B46&lt;&gt;"",ROW()-2,"")</f>
        <v/>
      </c>
      <c r="B46" s="35"/>
      <c r="C46" s="35"/>
      <c r="D46" s="35"/>
      <c r="E46" s="35"/>
      <c r="F46" s="35"/>
      <c r="G46" s="36"/>
      <c r="H46" s="37"/>
      <c r="I46" s="31" t="str">
        <f aca="true">IF(AND(G46&lt;&gt;"",H46="En cours"),TODAY()-G46,IF(AND(G46&lt;&gt;"",H46="Cloture"),TODAY()-G46,""))</f>
        <v/>
      </c>
      <c r="J46" s="35"/>
      <c r="K46" s="35"/>
      <c r="L46" s="35"/>
      <c r="M46" s="38"/>
      <c r="N46" s="37"/>
      <c r="O46" s="33" t="str">
        <f aca="false">IF(G46&lt;&gt;"",TEXT(G46,"MMMM YYYY"),"")</f>
        <v/>
      </c>
      <c r="P46" s="33" t="str">
        <f aca="false">IF(G46&lt;&gt;"",YEAR(G46),"")</f>
        <v/>
      </c>
    </row>
    <row r="47" customFormat="false" ht="21.75" hidden="false" customHeight="true" outlineLevel="0" collapsed="false">
      <c r="A47" s="27" t="str">
        <f aca="false">IF(B47&lt;&gt;"",ROW()-2,"")</f>
        <v/>
      </c>
      <c r="B47" s="28"/>
      <c r="C47" s="28"/>
      <c r="D47" s="28"/>
      <c r="E47" s="28"/>
      <c r="F47" s="28"/>
      <c r="G47" s="29"/>
      <c r="H47" s="30"/>
      <c r="I47" s="31" t="str">
        <f aca="true">IF(AND(G47&lt;&gt;"",H47="En cours"),TODAY()-G47,IF(AND(G47&lt;&gt;"",H47="Cloture"),TODAY()-G47,""))</f>
        <v/>
      </c>
      <c r="J47" s="28"/>
      <c r="K47" s="28"/>
      <c r="L47" s="28"/>
      <c r="M47" s="32"/>
      <c r="N47" s="30"/>
      <c r="O47" s="33" t="str">
        <f aca="false">IF(G47&lt;&gt;"",TEXT(G47,"MMMM YYYY"),"")</f>
        <v/>
      </c>
      <c r="P47" s="33" t="str">
        <f aca="false">IF(G47&lt;&gt;"",YEAR(G47),"")</f>
        <v/>
      </c>
    </row>
    <row r="48" customFormat="false" ht="21.75" hidden="false" customHeight="true" outlineLevel="0" collapsed="false">
      <c r="A48" s="34" t="str">
        <f aca="false">IF(B48&lt;&gt;"",ROW()-2,"")</f>
        <v/>
      </c>
      <c r="B48" s="35"/>
      <c r="C48" s="35"/>
      <c r="D48" s="35"/>
      <c r="E48" s="35"/>
      <c r="F48" s="35"/>
      <c r="G48" s="36"/>
      <c r="H48" s="37"/>
      <c r="I48" s="31" t="str">
        <f aca="true">IF(AND(G48&lt;&gt;"",H48="En cours"),TODAY()-G48,IF(AND(G48&lt;&gt;"",H48="Cloture"),TODAY()-G48,""))</f>
        <v/>
      </c>
      <c r="J48" s="35"/>
      <c r="K48" s="35"/>
      <c r="L48" s="35"/>
      <c r="M48" s="38"/>
      <c r="N48" s="37"/>
      <c r="O48" s="33" t="str">
        <f aca="false">IF(G48&lt;&gt;"",TEXT(G48,"MMMM YYYY"),"")</f>
        <v/>
      </c>
      <c r="P48" s="33" t="str">
        <f aca="false">IF(G48&lt;&gt;"",YEAR(G48),"")</f>
        <v/>
      </c>
    </row>
    <row r="49" customFormat="false" ht="21.75" hidden="false" customHeight="true" outlineLevel="0" collapsed="false">
      <c r="A49" s="27" t="str">
        <f aca="false">IF(B49&lt;&gt;"",ROW()-2,"")</f>
        <v/>
      </c>
      <c r="B49" s="28"/>
      <c r="C49" s="28"/>
      <c r="D49" s="28"/>
      <c r="E49" s="28"/>
      <c r="F49" s="28"/>
      <c r="G49" s="29"/>
      <c r="H49" s="30"/>
      <c r="I49" s="31" t="str">
        <f aca="true">IF(AND(G49&lt;&gt;"",H49="En cours"),TODAY()-G49,IF(AND(G49&lt;&gt;"",H49="Cloture"),TODAY()-G49,""))</f>
        <v/>
      </c>
      <c r="J49" s="28"/>
      <c r="K49" s="28"/>
      <c r="L49" s="28"/>
      <c r="M49" s="32"/>
      <c r="N49" s="30"/>
      <c r="O49" s="33" t="str">
        <f aca="false">IF(G49&lt;&gt;"",TEXT(G49,"MMMM YYYY"),"")</f>
        <v/>
      </c>
      <c r="P49" s="33" t="str">
        <f aca="false">IF(G49&lt;&gt;"",YEAR(G49),"")</f>
        <v/>
      </c>
    </row>
    <row r="50" customFormat="false" ht="21.75" hidden="false" customHeight="true" outlineLevel="0" collapsed="false">
      <c r="A50" s="34" t="str">
        <f aca="false">IF(B50&lt;&gt;"",ROW()-2,"")</f>
        <v/>
      </c>
      <c r="B50" s="35"/>
      <c r="C50" s="35"/>
      <c r="D50" s="35"/>
      <c r="E50" s="35"/>
      <c r="F50" s="35"/>
      <c r="G50" s="36"/>
      <c r="H50" s="37"/>
      <c r="I50" s="31" t="str">
        <f aca="true">IF(AND(G50&lt;&gt;"",H50="En cours"),TODAY()-G50,IF(AND(G50&lt;&gt;"",H50="Cloture"),TODAY()-G50,""))</f>
        <v/>
      </c>
      <c r="J50" s="35"/>
      <c r="K50" s="35"/>
      <c r="L50" s="35"/>
      <c r="M50" s="38"/>
      <c r="N50" s="37"/>
      <c r="O50" s="33" t="str">
        <f aca="false">IF(G50&lt;&gt;"",TEXT(G50,"MMMM YYYY"),"")</f>
        <v/>
      </c>
      <c r="P50" s="33" t="str">
        <f aca="false">IF(G50&lt;&gt;"",YEAR(G50),"")</f>
        <v/>
      </c>
    </row>
    <row r="51" customFormat="false" ht="21.75" hidden="false" customHeight="true" outlineLevel="0" collapsed="false">
      <c r="A51" s="27" t="str">
        <f aca="false">IF(B51&lt;&gt;"",ROW()-2,"")</f>
        <v/>
      </c>
      <c r="B51" s="28"/>
      <c r="C51" s="28"/>
      <c r="D51" s="28"/>
      <c r="E51" s="28"/>
      <c r="F51" s="28"/>
      <c r="G51" s="29"/>
      <c r="H51" s="30"/>
      <c r="I51" s="31" t="str">
        <f aca="true">IF(AND(G51&lt;&gt;"",H51="En cours"),TODAY()-G51,IF(AND(G51&lt;&gt;"",H51="Cloture"),TODAY()-G51,""))</f>
        <v/>
      </c>
      <c r="J51" s="28"/>
      <c r="K51" s="28"/>
      <c r="L51" s="28"/>
      <c r="M51" s="32"/>
      <c r="N51" s="30"/>
      <c r="O51" s="33" t="str">
        <f aca="false">IF(G51&lt;&gt;"",TEXT(G51,"MMMM YYYY"),"")</f>
        <v/>
      </c>
      <c r="P51" s="33" t="str">
        <f aca="false">IF(G51&lt;&gt;"",YEAR(G51),"")</f>
        <v/>
      </c>
    </row>
    <row r="52" customFormat="false" ht="21.75" hidden="false" customHeight="true" outlineLevel="0" collapsed="false">
      <c r="A52" s="34" t="str">
        <f aca="false">IF(B52&lt;&gt;"",ROW()-2,"")</f>
        <v/>
      </c>
      <c r="B52" s="35"/>
      <c r="C52" s="35"/>
      <c r="D52" s="35"/>
      <c r="E52" s="35"/>
      <c r="F52" s="35"/>
      <c r="G52" s="36"/>
      <c r="H52" s="37"/>
      <c r="I52" s="31" t="str">
        <f aca="true">IF(AND(G52&lt;&gt;"",H52="En cours"),TODAY()-G52,IF(AND(G52&lt;&gt;"",H52="Cloture"),TODAY()-G52,""))</f>
        <v/>
      </c>
      <c r="J52" s="35"/>
      <c r="K52" s="35"/>
      <c r="L52" s="35"/>
      <c r="M52" s="38"/>
      <c r="N52" s="37"/>
      <c r="O52" s="33" t="str">
        <f aca="false">IF(G52&lt;&gt;"",TEXT(G52,"MMMM YYYY"),"")</f>
        <v/>
      </c>
      <c r="P52" s="33" t="str">
        <f aca="false">IF(G52&lt;&gt;"",YEAR(G52),"")</f>
        <v/>
      </c>
    </row>
    <row r="53" customFormat="false" ht="21.75" hidden="false" customHeight="true" outlineLevel="0" collapsed="false">
      <c r="A53" s="27" t="str">
        <f aca="false">IF(B53&lt;&gt;"",ROW()-2,"")</f>
        <v/>
      </c>
      <c r="B53" s="28"/>
      <c r="C53" s="28"/>
      <c r="D53" s="28"/>
      <c r="E53" s="28"/>
      <c r="F53" s="28"/>
      <c r="G53" s="29"/>
      <c r="H53" s="30"/>
      <c r="I53" s="31" t="str">
        <f aca="true">IF(AND(G53&lt;&gt;"",H53="En cours"),TODAY()-G53,IF(AND(G53&lt;&gt;"",H53="Cloture"),TODAY()-G53,""))</f>
        <v/>
      </c>
      <c r="J53" s="28"/>
      <c r="K53" s="28"/>
      <c r="L53" s="28"/>
      <c r="M53" s="32"/>
      <c r="N53" s="30"/>
      <c r="O53" s="33" t="str">
        <f aca="false">IF(G53&lt;&gt;"",TEXT(G53,"MMMM YYYY"),"")</f>
        <v/>
      </c>
      <c r="P53" s="33" t="str">
        <f aca="false">IF(G53&lt;&gt;"",YEAR(G53),"")</f>
        <v/>
      </c>
    </row>
    <row r="54" customFormat="false" ht="21.75" hidden="false" customHeight="true" outlineLevel="0" collapsed="false">
      <c r="A54" s="34" t="str">
        <f aca="false">IF(B54&lt;&gt;"",ROW()-2,"")</f>
        <v/>
      </c>
      <c r="B54" s="35"/>
      <c r="C54" s="35"/>
      <c r="D54" s="35"/>
      <c r="E54" s="35"/>
      <c r="F54" s="35"/>
      <c r="G54" s="36"/>
      <c r="H54" s="37"/>
      <c r="I54" s="31" t="str">
        <f aca="true">IF(AND(G54&lt;&gt;"",H54="En cours"),TODAY()-G54,IF(AND(G54&lt;&gt;"",H54="Cloture"),TODAY()-G54,""))</f>
        <v/>
      </c>
      <c r="J54" s="35"/>
      <c r="K54" s="35"/>
      <c r="L54" s="35"/>
      <c r="M54" s="38"/>
      <c r="N54" s="37"/>
      <c r="O54" s="33" t="str">
        <f aca="false">IF(G54&lt;&gt;"",TEXT(G54,"MMMM YYYY"),"")</f>
        <v/>
      </c>
      <c r="P54" s="33" t="str">
        <f aca="false">IF(G54&lt;&gt;"",YEAR(G54),"")</f>
        <v/>
      </c>
    </row>
    <row r="55" customFormat="false" ht="21.75" hidden="false" customHeight="true" outlineLevel="0" collapsed="false">
      <c r="A55" s="27" t="str">
        <f aca="false">IF(B55&lt;&gt;"",ROW()-2,"")</f>
        <v/>
      </c>
      <c r="B55" s="28"/>
      <c r="C55" s="28"/>
      <c r="D55" s="28"/>
      <c r="E55" s="28"/>
      <c r="F55" s="28"/>
      <c r="G55" s="29"/>
      <c r="H55" s="30"/>
      <c r="I55" s="31" t="str">
        <f aca="true">IF(AND(G55&lt;&gt;"",H55="En cours"),TODAY()-G55,IF(AND(G55&lt;&gt;"",H55="Cloture"),TODAY()-G55,""))</f>
        <v/>
      </c>
      <c r="J55" s="28"/>
      <c r="K55" s="28"/>
      <c r="L55" s="28"/>
      <c r="M55" s="32"/>
      <c r="N55" s="30"/>
      <c r="O55" s="33" t="str">
        <f aca="false">IF(G55&lt;&gt;"",TEXT(G55,"MMMM YYYY"),"")</f>
        <v/>
      </c>
      <c r="P55" s="33" t="str">
        <f aca="false">IF(G55&lt;&gt;"",YEAR(G55),"")</f>
        <v/>
      </c>
    </row>
    <row r="56" customFormat="false" ht="21.75" hidden="false" customHeight="true" outlineLevel="0" collapsed="false">
      <c r="A56" s="34" t="str">
        <f aca="false">IF(B56&lt;&gt;"",ROW()-2,"")</f>
        <v/>
      </c>
      <c r="B56" s="35"/>
      <c r="C56" s="35"/>
      <c r="D56" s="35"/>
      <c r="E56" s="35"/>
      <c r="F56" s="35"/>
      <c r="G56" s="36"/>
      <c r="H56" s="37"/>
      <c r="I56" s="31" t="str">
        <f aca="true">IF(AND(G56&lt;&gt;"",H56="En cours"),TODAY()-G56,IF(AND(G56&lt;&gt;"",H56="Cloture"),TODAY()-G56,""))</f>
        <v/>
      </c>
      <c r="J56" s="35"/>
      <c r="K56" s="35"/>
      <c r="L56" s="35"/>
      <c r="M56" s="38"/>
      <c r="N56" s="37"/>
      <c r="O56" s="33" t="str">
        <f aca="false">IF(G56&lt;&gt;"",TEXT(G56,"MMMM YYYY"),"")</f>
        <v/>
      </c>
      <c r="P56" s="33" t="str">
        <f aca="false">IF(G56&lt;&gt;"",YEAR(G56),"")</f>
        <v/>
      </c>
    </row>
    <row r="57" customFormat="false" ht="21.75" hidden="false" customHeight="true" outlineLevel="0" collapsed="false">
      <c r="A57" s="27" t="str">
        <f aca="false">IF(B57&lt;&gt;"",ROW()-2,"")</f>
        <v/>
      </c>
      <c r="B57" s="28"/>
      <c r="C57" s="28"/>
      <c r="D57" s="28"/>
      <c r="E57" s="28"/>
      <c r="F57" s="28"/>
      <c r="G57" s="29"/>
      <c r="H57" s="30"/>
      <c r="I57" s="31" t="str">
        <f aca="true">IF(AND(G57&lt;&gt;"",H57="En cours"),TODAY()-G57,IF(AND(G57&lt;&gt;"",H57="Cloture"),TODAY()-G57,""))</f>
        <v/>
      </c>
      <c r="J57" s="28"/>
      <c r="K57" s="28"/>
      <c r="L57" s="28"/>
      <c r="M57" s="32"/>
      <c r="N57" s="30"/>
      <c r="O57" s="33" t="str">
        <f aca="false">IF(G57&lt;&gt;"",TEXT(G57,"MMMM YYYY"),"")</f>
        <v/>
      </c>
      <c r="P57" s="33" t="str">
        <f aca="false">IF(G57&lt;&gt;"",YEAR(G57),"")</f>
        <v/>
      </c>
    </row>
    <row r="58" customFormat="false" ht="21.75" hidden="false" customHeight="true" outlineLevel="0" collapsed="false">
      <c r="A58" s="34" t="str">
        <f aca="false">IF(B58&lt;&gt;"",ROW()-2,"")</f>
        <v/>
      </c>
      <c r="B58" s="35"/>
      <c r="C58" s="35"/>
      <c r="D58" s="35"/>
      <c r="E58" s="35"/>
      <c r="F58" s="35"/>
      <c r="G58" s="36"/>
      <c r="H58" s="37"/>
      <c r="I58" s="31" t="str">
        <f aca="true">IF(AND(G58&lt;&gt;"",H58="En cours"),TODAY()-G58,IF(AND(G58&lt;&gt;"",H58="Cloture"),TODAY()-G58,""))</f>
        <v/>
      </c>
      <c r="J58" s="35"/>
      <c r="K58" s="35"/>
      <c r="L58" s="35"/>
      <c r="M58" s="38"/>
      <c r="N58" s="37"/>
      <c r="O58" s="33" t="str">
        <f aca="false">IF(G58&lt;&gt;"",TEXT(G58,"MMMM YYYY"),"")</f>
        <v/>
      </c>
      <c r="P58" s="33" t="str">
        <f aca="false">IF(G58&lt;&gt;"",YEAR(G58),"")</f>
        <v/>
      </c>
    </row>
    <row r="59" customFormat="false" ht="21.75" hidden="false" customHeight="true" outlineLevel="0" collapsed="false">
      <c r="A59" s="27" t="str">
        <f aca="false">IF(B59&lt;&gt;"",ROW()-2,"")</f>
        <v/>
      </c>
      <c r="B59" s="28"/>
      <c r="C59" s="28"/>
      <c r="D59" s="28"/>
      <c r="E59" s="28"/>
      <c r="F59" s="28"/>
      <c r="G59" s="29"/>
      <c r="H59" s="30"/>
      <c r="I59" s="31" t="str">
        <f aca="true">IF(AND(G59&lt;&gt;"",H59="En cours"),TODAY()-G59,IF(AND(G59&lt;&gt;"",H59="Cloture"),TODAY()-G59,""))</f>
        <v/>
      </c>
      <c r="J59" s="28"/>
      <c r="K59" s="28"/>
      <c r="L59" s="28"/>
      <c r="M59" s="32"/>
      <c r="N59" s="30"/>
      <c r="O59" s="33" t="str">
        <f aca="false">IF(G59&lt;&gt;"",TEXT(G59,"MMMM YYYY"),"")</f>
        <v/>
      </c>
      <c r="P59" s="33" t="str">
        <f aca="false">IF(G59&lt;&gt;"",YEAR(G59),"")</f>
        <v/>
      </c>
    </row>
    <row r="60" customFormat="false" ht="21.75" hidden="false" customHeight="true" outlineLevel="0" collapsed="false">
      <c r="A60" s="34" t="str">
        <f aca="false">IF(B60&lt;&gt;"",ROW()-2,"")</f>
        <v/>
      </c>
      <c r="B60" s="35"/>
      <c r="C60" s="35"/>
      <c r="D60" s="35"/>
      <c r="E60" s="35"/>
      <c r="F60" s="35"/>
      <c r="G60" s="36"/>
      <c r="H60" s="37"/>
      <c r="I60" s="31" t="str">
        <f aca="true">IF(AND(G60&lt;&gt;"",H60="En cours"),TODAY()-G60,IF(AND(G60&lt;&gt;"",H60="Cloture"),TODAY()-G60,""))</f>
        <v/>
      </c>
      <c r="J60" s="35"/>
      <c r="K60" s="35"/>
      <c r="L60" s="35"/>
      <c r="M60" s="38"/>
      <c r="N60" s="37"/>
      <c r="O60" s="33" t="str">
        <f aca="false">IF(G60&lt;&gt;"",TEXT(G60,"MMMM YYYY"),"")</f>
        <v/>
      </c>
      <c r="P60" s="33" t="str">
        <f aca="false">IF(G60&lt;&gt;"",YEAR(G60),"")</f>
        <v/>
      </c>
    </row>
    <row r="61" customFormat="false" ht="21.75" hidden="false" customHeight="true" outlineLevel="0" collapsed="false">
      <c r="A61" s="27" t="str">
        <f aca="false">IF(B61&lt;&gt;"",ROW()-2,"")</f>
        <v/>
      </c>
      <c r="B61" s="28"/>
      <c r="C61" s="28"/>
      <c r="D61" s="28"/>
      <c r="E61" s="28"/>
      <c r="F61" s="28"/>
      <c r="G61" s="29"/>
      <c r="H61" s="30"/>
      <c r="I61" s="31" t="str">
        <f aca="true">IF(AND(G61&lt;&gt;"",H61="En cours"),TODAY()-G61,IF(AND(G61&lt;&gt;"",H61="Cloture"),TODAY()-G61,""))</f>
        <v/>
      </c>
      <c r="J61" s="28"/>
      <c r="K61" s="28"/>
      <c r="L61" s="28"/>
      <c r="M61" s="32"/>
      <c r="N61" s="30"/>
      <c r="O61" s="33" t="str">
        <f aca="false">IF(G61&lt;&gt;"",TEXT(G61,"MMMM YYYY"),"")</f>
        <v/>
      </c>
      <c r="P61" s="33" t="str">
        <f aca="false">IF(G61&lt;&gt;"",YEAR(G61),"")</f>
        <v/>
      </c>
    </row>
    <row r="62" customFormat="false" ht="21.75" hidden="false" customHeight="true" outlineLevel="0" collapsed="false">
      <c r="A62" s="34" t="str">
        <f aca="false">IF(B62&lt;&gt;"",ROW()-2,"")</f>
        <v/>
      </c>
      <c r="B62" s="35"/>
      <c r="C62" s="35"/>
      <c r="D62" s="35"/>
      <c r="E62" s="35"/>
      <c r="F62" s="35"/>
      <c r="G62" s="36"/>
      <c r="H62" s="37"/>
      <c r="I62" s="31" t="str">
        <f aca="true">IF(AND(G62&lt;&gt;"",H62="En cours"),TODAY()-G62,IF(AND(G62&lt;&gt;"",H62="Cloture"),TODAY()-G62,""))</f>
        <v/>
      </c>
      <c r="J62" s="35"/>
      <c r="K62" s="35"/>
      <c r="L62" s="35"/>
      <c r="M62" s="38"/>
      <c r="N62" s="37"/>
      <c r="O62" s="33" t="str">
        <f aca="false">IF(G62&lt;&gt;"",TEXT(G62,"MMMM YYYY"),"")</f>
        <v/>
      </c>
      <c r="P62" s="33" t="str">
        <f aca="false">IF(G62&lt;&gt;"",YEAR(G62),"")</f>
        <v/>
      </c>
    </row>
    <row r="63" customFormat="false" ht="21.75" hidden="false" customHeight="true" outlineLevel="0" collapsed="false">
      <c r="A63" s="27" t="str">
        <f aca="false">IF(B63&lt;&gt;"",ROW()-2,"")</f>
        <v/>
      </c>
      <c r="B63" s="28"/>
      <c r="C63" s="28"/>
      <c r="D63" s="28"/>
      <c r="E63" s="28"/>
      <c r="F63" s="28"/>
      <c r="G63" s="29"/>
      <c r="H63" s="30"/>
      <c r="I63" s="31" t="str">
        <f aca="true">IF(AND(G63&lt;&gt;"",H63="En cours"),TODAY()-G63,IF(AND(G63&lt;&gt;"",H63="Cloture"),TODAY()-G63,""))</f>
        <v/>
      </c>
      <c r="J63" s="28"/>
      <c r="K63" s="28"/>
      <c r="L63" s="28"/>
      <c r="M63" s="32"/>
      <c r="N63" s="30"/>
      <c r="O63" s="33" t="str">
        <f aca="false">IF(G63&lt;&gt;"",TEXT(G63,"MMMM YYYY"),"")</f>
        <v/>
      </c>
      <c r="P63" s="33" t="str">
        <f aca="false">IF(G63&lt;&gt;"",YEAR(G63),"")</f>
        <v/>
      </c>
    </row>
    <row r="64" customFormat="false" ht="21.75" hidden="false" customHeight="true" outlineLevel="0" collapsed="false">
      <c r="A64" s="34" t="str">
        <f aca="false">IF(B64&lt;&gt;"",ROW()-2,"")</f>
        <v/>
      </c>
      <c r="B64" s="35"/>
      <c r="C64" s="35"/>
      <c r="D64" s="35"/>
      <c r="E64" s="35"/>
      <c r="F64" s="35"/>
      <c r="G64" s="36"/>
      <c r="H64" s="37"/>
      <c r="I64" s="31" t="str">
        <f aca="true">IF(AND(G64&lt;&gt;"",H64="En cours"),TODAY()-G64,IF(AND(G64&lt;&gt;"",H64="Cloture"),TODAY()-G64,""))</f>
        <v/>
      </c>
      <c r="J64" s="35"/>
      <c r="K64" s="35"/>
      <c r="L64" s="35"/>
      <c r="M64" s="38"/>
      <c r="N64" s="37"/>
      <c r="O64" s="33" t="str">
        <f aca="false">IF(G64&lt;&gt;"",TEXT(G64,"MMMM YYYY"),"")</f>
        <v/>
      </c>
      <c r="P64" s="33" t="str">
        <f aca="false">IF(G64&lt;&gt;"",YEAR(G64),"")</f>
        <v/>
      </c>
    </row>
    <row r="65" customFormat="false" ht="21.75" hidden="false" customHeight="true" outlineLevel="0" collapsed="false">
      <c r="A65" s="27" t="str">
        <f aca="false">IF(B65&lt;&gt;"",ROW()-2,"")</f>
        <v/>
      </c>
      <c r="B65" s="28"/>
      <c r="C65" s="28"/>
      <c r="D65" s="28"/>
      <c r="E65" s="28"/>
      <c r="F65" s="28"/>
      <c r="G65" s="29"/>
      <c r="H65" s="30"/>
      <c r="I65" s="31" t="str">
        <f aca="true">IF(AND(G65&lt;&gt;"",H65="En cours"),TODAY()-G65,IF(AND(G65&lt;&gt;"",H65="Cloture"),TODAY()-G65,""))</f>
        <v/>
      </c>
      <c r="J65" s="28"/>
      <c r="K65" s="28"/>
      <c r="L65" s="28"/>
      <c r="M65" s="32"/>
      <c r="N65" s="30"/>
      <c r="O65" s="33" t="str">
        <f aca="false">IF(G65&lt;&gt;"",TEXT(G65,"MMMM YYYY"),"")</f>
        <v/>
      </c>
      <c r="P65" s="33" t="str">
        <f aca="false">IF(G65&lt;&gt;"",YEAR(G65),"")</f>
        <v/>
      </c>
    </row>
    <row r="66" customFormat="false" ht="21.75" hidden="false" customHeight="true" outlineLevel="0" collapsed="false">
      <c r="A66" s="34" t="str">
        <f aca="false">IF(B66&lt;&gt;"",ROW()-2,"")</f>
        <v/>
      </c>
      <c r="B66" s="35"/>
      <c r="C66" s="35"/>
      <c r="D66" s="35"/>
      <c r="E66" s="35"/>
      <c r="F66" s="35"/>
      <c r="G66" s="36"/>
      <c r="H66" s="37"/>
      <c r="I66" s="31" t="str">
        <f aca="true">IF(AND(G66&lt;&gt;"",H66="En cours"),TODAY()-G66,IF(AND(G66&lt;&gt;"",H66="Cloture"),TODAY()-G66,""))</f>
        <v/>
      </c>
      <c r="J66" s="35"/>
      <c r="K66" s="35"/>
      <c r="L66" s="35"/>
      <c r="M66" s="38"/>
      <c r="N66" s="37"/>
      <c r="O66" s="33" t="str">
        <f aca="false">IF(G66&lt;&gt;"",TEXT(G66,"MMMM YYYY"),"")</f>
        <v/>
      </c>
      <c r="P66" s="33" t="str">
        <f aca="false">IF(G66&lt;&gt;"",YEAR(G66),"")</f>
        <v/>
      </c>
    </row>
    <row r="67" customFormat="false" ht="21.75" hidden="false" customHeight="true" outlineLevel="0" collapsed="false">
      <c r="A67" s="27" t="str">
        <f aca="false">IF(B67&lt;&gt;"",ROW()-2,"")</f>
        <v/>
      </c>
      <c r="B67" s="28"/>
      <c r="C67" s="28"/>
      <c r="D67" s="28"/>
      <c r="E67" s="28"/>
      <c r="F67" s="28"/>
      <c r="G67" s="29"/>
      <c r="H67" s="30"/>
      <c r="I67" s="31" t="str">
        <f aca="true">IF(AND(G67&lt;&gt;"",H67="En cours"),TODAY()-G67,IF(AND(G67&lt;&gt;"",H67="Cloture"),TODAY()-G67,""))</f>
        <v/>
      </c>
      <c r="J67" s="28"/>
      <c r="K67" s="28"/>
      <c r="L67" s="28"/>
      <c r="M67" s="32"/>
      <c r="N67" s="30"/>
      <c r="O67" s="33" t="str">
        <f aca="false">IF(G67&lt;&gt;"",TEXT(G67,"MMMM YYYY"),"")</f>
        <v/>
      </c>
      <c r="P67" s="33" t="str">
        <f aca="false">IF(G67&lt;&gt;"",YEAR(G67),"")</f>
        <v/>
      </c>
    </row>
    <row r="68" customFormat="false" ht="21.75" hidden="false" customHeight="true" outlineLevel="0" collapsed="false">
      <c r="A68" s="34" t="str">
        <f aca="false">IF(B68&lt;&gt;"",ROW()-2,"")</f>
        <v/>
      </c>
      <c r="B68" s="35"/>
      <c r="C68" s="35"/>
      <c r="D68" s="35"/>
      <c r="E68" s="35"/>
      <c r="F68" s="35"/>
      <c r="G68" s="36"/>
      <c r="H68" s="37"/>
      <c r="I68" s="31" t="str">
        <f aca="true">IF(AND(G68&lt;&gt;"",H68="En cours"),TODAY()-G68,IF(AND(G68&lt;&gt;"",H68="Cloture"),TODAY()-G68,""))</f>
        <v/>
      </c>
      <c r="J68" s="35"/>
      <c r="K68" s="35"/>
      <c r="L68" s="35"/>
      <c r="M68" s="38"/>
      <c r="N68" s="37"/>
      <c r="O68" s="33" t="str">
        <f aca="false">IF(G68&lt;&gt;"",TEXT(G68,"MMMM YYYY"),"")</f>
        <v/>
      </c>
      <c r="P68" s="33" t="str">
        <f aca="false">IF(G68&lt;&gt;"",YEAR(G68),"")</f>
        <v/>
      </c>
    </row>
    <row r="69" customFormat="false" ht="21.75" hidden="false" customHeight="true" outlineLevel="0" collapsed="false">
      <c r="A69" s="27" t="str">
        <f aca="false">IF(B69&lt;&gt;"",ROW()-2,"")</f>
        <v/>
      </c>
      <c r="B69" s="28"/>
      <c r="C69" s="28"/>
      <c r="D69" s="28"/>
      <c r="E69" s="28"/>
      <c r="F69" s="28"/>
      <c r="G69" s="29"/>
      <c r="H69" s="30"/>
      <c r="I69" s="31" t="str">
        <f aca="true">IF(AND(G69&lt;&gt;"",H69="En cours"),TODAY()-G69,IF(AND(G69&lt;&gt;"",H69="Cloture"),TODAY()-G69,""))</f>
        <v/>
      </c>
      <c r="J69" s="28"/>
      <c r="K69" s="28"/>
      <c r="L69" s="28"/>
      <c r="M69" s="32"/>
      <c r="N69" s="30"/>
      <c r="O69" s="33" t="str">
        <f aca="false">IF(G69&lt;&gt;"",TEXT(G69,"MMMM YYYY"),"")</f>
        <v/>
      </c>
      <c r="P69" s="33" t="str">
        <f aca="false">IF(G69&lt;&gt;"",YEAR(G69),"")</f>
        <v/>
      </c>
    </row>
    <row r="70" customFormat="false" ht="21.75" hidden="false" customHeight="true" outlineLevel="0" collapsed="false">
      <c r="A70" s="34" t="str">
        <f aca="false">IF(B70&lt;&gt;"",ROW()-2,"")</f>
        <v/>
      </c>
      <c r="B70" s="35"/>
      <c r="C70" s="35"/>
      <c r="D70" s="35"/>
      <c r="E70" s="35"/>
      <c r="F70" s="35"/>
      <c r="G70" s="36"/>
      <c r="H70" s="37"/>
      <c r="I70" s="31" t="str">
        <f aca="true">IF(AND(G70&lt;&gt;"",H70="En cours"),TODAY()-G70,IF(AND(G70&lt;&gt;"",H70="Cloture"),TODAY()-G70,""))</f>
        <v/>
      </c>
      <c r="J70" s="35"/>
      <c r="K70" s="35"/>
      <c r="L70" s="35"/>
      <c r="M70" s="38"/>
      <c r="N70" s="37"/>
      <c r="O70" s="33" t="str">
        <f aca="false">IF(G70&lt;&gt;"",TEXT(G70,"MMMM YYYY"),"")</f>
        <v/>
      </c>
      <c r="P70" s="33" t="str">
        <f aca="false">IF(G70&lt;&gt;"",YEAR(G70),"")</f>
        <v/>
      </c>
    </row>
    <row r="71" customFormat="false" ht="21.75" hidden="false" customHeight="true" outlineLevel="0" collapsed="false">
      <c r="A71" s="27" t="str">
        <f aca="false">IF(B71&lt;&gt;"",ROW()-2,"")</f>
        <v/>
      </c>
      <c r="B71" s="28"/>
      <c r="C71" s="28"/>
      <c r="D71" s="28"/>
      <c r="E71" s="28"/>
      <c r="F71" s="28"/>
      <c r="G71" s="29"/>
      <c r="H71" s="30"/>
      <c r="I71" s="31" t="str">
        <f aca="true">IF(AND(G71&lt;&gt;"",H71="En cours"),TODAY()-G71,IF(AND(G71&lt;&gt;"",H71="Cloture"),TODAY()-G71,""))</f>
        <v/>
      </c>
      <c r="J71" s="28"/>
      <c r="K71" s="28"/>
      <c r="L71" s="28"/>
      <c r="M71" s="32"/>
      <c r="N71" s="30"/>
      <c r="O71" s="33" t="str">
        <f aca="false">IF(G71&lt;&gt;"",TEXT(G71,"MMMM YYYY"),"")</f>
        <v/>
      </c>
      <c r="P71" s="33" t="str">
        <f aca="false">IF(G71&lt;&gt;"",YEAR(G71),"")</f>
        <v/>
      </c>
    </row>
    <row r="72" customFormat="false" ht="21.75" hidden="false" customHeight="true" outlineLevel="0" collapsed="false">
      <c r="A72" s="34" t="str">
        <f aca="false">IF(B72&lt;&gt;"",ROW()-2,"")</f>
        <v/>
      </c>
      <c r="B72" s="35"/>
      <c r="C72" s="35"/>
      <c r="D72" s="35"/>
      <c r="E72" s="35"/>
      <c r="F72" s="35"/>
      <c r="G72" s="36"/>
      <c r="H72" s="37"/>
      <c r="I72" s="31" t="str">
        <f aca="true">IF(AND(G72&lt;&gt;"",H72="En cours"),TODAY()-G72,IF(AND(G72&lt;&gt;"",H72="Cloture"),TODAY()-G72,""))</f>
        <v/>
      </c>
      <c r="J72" s="35"/>
      <c r="K72" s="35"/>
      <c r="L72" s="35"/>
      <c r="M72" s="38"/>
      <c r="N72" s="37"/>
      <c r="O72" s="33" t="str">
        <f aca="false">IF(G72&lt;&gt;"",TEXT(G72,"MMMM YYYY"),"")</f>
        <v/>
      </c>
      <c r="P72" s="33" t="str">
        <f aca="false">IF(G72&lt;&gt;"",YEAR(G72),"")</f>
        <v/>
      </c>
    </row>
    <row r="73" customFormat="false" ht="21.75" hidden="false" customHeight="true" outlineLevel="0" collapsed="false">
      <c r="A73" s="27" t="str">
        <f aca="false">IF(B73&lt;&gt;"",ROW()-2,"")</f>
        <v/>
      </c>
      <c r="B73" s="28"/>
      <c r="C73" s="28"/>
      <c r="D73" s="28"/>
      <c r="E73" s="28"/>
      <c r="F73" s="28"/>
      <c r="G73" s="29"/>
      <c r="H73" s="30"/>
      <c r="I73" s="31" t="str">
        <f aca="true">IF(AND(G73&lt;&gt;"",H73="En cours"),TODAY()-G73,IF(AND(G73&lt;&gt;"",H73="Cloture"),TODAY()-G73,""))</f>
        <v/>
      </c>
      <c r="J73" s="28"/>
      <c r="K73" s="28"/>
      <c r="L73" s="28"/>
      <c r="M73" s="32"/>
      <c r="N73" s="30"/>
      <c r="O73" s="33" t="str">
        <f aca="false">IF(G73&lt;&gt;"",TEXT(G73,"MMMM YYYY"),"")</f>
        <v/>
      </c>
      <c r="P73" s="33" t="str">
        <f aca="false">IF(G73&lt;&gt;"",YEAR(G73),"")</f>
        <v/>
      </c>
    </row>
    <row r="74" customFormat="false" ht="21.75" hidden="false" customHeight="true" outlineLevel="0" collapsed="false">
      <c r="A74" s="34" t="str">
        <f aca="false">IF(B74&lt;&gt;"",ROW()-2,"")</f>
        <v/>
      </c>
      <c r="B74" s="35"/>
      <c r="C74" s="35"/>
      <c r="D74" s="35"/>
      <c r="E74" s="35"/>
      <c r="F74" s="35"/>
      <c r="G74" s="36"/>
      <c r="H74" s="37"/>
      <c r="I74" s="31" t="str">
        <f aca="true">IF(AND(G74&lt;&gt;"",H74="En cours"),TODAY()-G74,IF(AND(G74&lt;&gt;"",H74="Cloture"),TODAY()-G74,""))</f>
        <v/>
      </c>
      <c r="J74" s="35"/>
      <c r="K74" s="35"/>
      <c r="L74" s="35"/>
      <c r="M74" s="38"/>
      <c r="N74" s="37"/>
      <c r="O74" s="33" t="str">
        <f aca="false">IF(G74&lt;&gt;"",TEXT(G74,"MMMM YYYY"),"")</f>
        <v/>
      </c>
      <c r="P74" s="33" t="str">
        <f aca="false">IF(G74&lt;&gt;"",YEAR(G74),"")</f>
        <v/>
      </c>
    </row>
    <row r="75" customFormat="false" ht="21.75" hidden="false" customHeight="true" outlineLevel="0" collapsed="false">
      <c r="A75" s="27" t="str">
        <f aca="false">IF(B75&lt;&gt;"",ROW()-2,"")</f>
        <v/>
      </c>
      <c r="B75" s="28"/>
      <c r="C75" s="28"/>
      <c r="D75" s="28"/>
      <c r="E75" s="28"/>
      <c r="F75" s="28"/>
      <c r="G75" s="29"/>
      <c r="H75" s="30"/>
      <c r="I75" s="31" t="str">
        <f aca="true">IF(AND(G75&lt;&gt;"",H75="En cours"),TODAY()-G75,IF(AND(G75&lt;&gt;"",H75="Cloture"),TODAY()-G75,""))</f>
        <v/>
      </c>
      <c r="J75" s="28"/>
      <c r="K75" s="28"/>
      <c r="L75" s="28"/>
      <c r="M75" s="32"/>
      <c r="N75" s="30"/>
      <c r="O75" s="33" t="str">
        <f aca="false">IF(G75&lt;&gt;"",TEXT(G75,"MMMM YYYY"),"")</f>
        <v/>
      </c>
      <c r="P75" s="33" t="str">
        <f aca="false">IF(G75&lt;&gt;"",YEAR(G75),"")</f>
        <v/>
      </c>
    </row>
    <row r="76" customFormat="false" ht="21.75" hidden="false" customHeight="true" outlineLevel="0" collapsed="false">
      <c r="A76" s="34" t="str">
        <f aca="false">IF(B76&lt;&gt;"",ROW()-2,"")</f>
        <v/>
      </c>
      <c r="B76" s="35"/>
      <c r="C76" s="35"/>
      <c r="D76" s="35"/>
      <c r="E76" s="35"/>
      <c r="F76" s="35"/>
      <c r="G76" s="36"/>
      <c r="H76" s="37"/>
      <c r="I76" s="31" t="str">
        <f aca="true">IF(AND(G76&lt;&gt;"",H76="En cours"),TODAY()-G76,IF(AND(G76&lt;&gt;"",H76="Cloture"),TODAY()-G76,""))</f>
        <v/>
      </c>
      <c r="J76" s="35"/>
      <c r="K76" s="35"/>
      <c r="L76" s="35"/>
      <c r="M76" s="38"/>
      <c r="N76" s="37"/>
      <c r="O76" s="33" t="str">
        <f aca="false">IF(G76&lt;&gt;"",TEXT(G76,"MMMM YYYY"),"")</f>
        <v/>
      </c>
      <c r="P76" s="33" t="str">
        <f aca="false">IF(G76&lt;&gt;"",YEAR(G76),"")</f>
        <v/>
      </c>
    </row>
    <row r="77" customFormat="false" ht="21.75" hidden="false" customHeight="true" outlineLevel="0" collapsed="false">
      <c r="A77" s="27" t="str">
        <f aca="false">IF(B77&lt;&gt;"",ROW()-2,"")</f>
        <v/>
      </c>
      <c r="B77" s="28"/>
      <c r="C77" s="28"/>
      <c r="D77" s="28"/>
      <c r="E77" s="28"/>
      <c r="F77" s="28"/>
      <c r="G77" s="29"/>
      <c r="H77" s="30"/>
      <c r="I77" s="31" t="str">
        <f aca="true">IF(AND(G77&lt;&gt;"",H77="En cours"),TODAY()-G77,IF(AND(G77&lt;&gt;"",H77="Cloture"),TODAY()-G77,""))</f>
        <v/>
      </c>
      <c r="J77" s="28"/>
      <c r="K77" s="28"/>
      <c r="L77" s="28"/>
      <c r="M77" s="32"/>
      <c r="N77" s="30"/>
      <c r="O77" s="33" t="str">
        <f aca="false">IF(G77&lt;&gt;"",TEXT(G77,"MMMM YYYY"),"")</f>
        <v/>
      </c>
      <c r="P77" s="33" t="str">
        <f aca="false">IF(G77&lt;&gt;"",YEAR(G77),"")</f>
        <v/>
      </c>
    </row>
    <row r="78" customFormat="false" ht="21.75" hidden="false" customHeight="true" outlineLevel="0" collapsed="false">
      <c r="A78" s="34" t="str">
        <f aca="false">IF(B78&lt;&gt;"",ROW()-2,"")</f>
        <v/>
      </c>
      <c r="B78" s="35"/>
      <c r="C78" s="35"/>
      <c r="D78" s="35"/>
      <c r="E78" s="35"/>
      <c r="F78" s="35"/>
      <c r="G78" s="36"/>
      <c r="H78" s="37"/>
      <c r="I78" s="31" t="str">
        <f aca="true">IF(AND(G78&lt;&gt;"",H78="En cours"),TODAY()-G78,IF(AND(G78&lt;&gt;"",H78="Cloture"),TODAY()-G78,""))</f>
        <v/>
      </c>
      <c r="J78" s="35"/>
      <c r="K78" s="35"/>
      <c r="L78" s="35"/>
      <c r="M78" s="38"/>
      <c r="N78" s="37"/>
      <c r="O78" s="33" t="str">
        <f aca="false">IF(G78&lt;&gt;"",TEXT(G78,"MMMM YYYY"),"")</f>
        <v/>
      </c>
      <c r="P78" s="33" t="str">
        <f aca="false">IF(G78&lt;&gt;"",YEAR(G78),"")</f>
        <v/>
      </c>
    </row>
    <row r="79" customFormat="false" ht="21.75" hidden="false" customHeight="true" outlineLevel="0" collapsed="false">
      <c r="A79" s="27" t="str">
        <f aca="false">IF(B79&lt;&gt;"",ROW()-2,"")</f>
        <v/>
      </c>
      <c r="B79" s="28"/>
      <c r="C79" s="28"/>
      <c r="D79" s="28"/>
      <c r="E79" s="28"/>
      <c r="F79" s="28"/>
      <c r="G79" s="29"/>
      <c r="H79" s="30"/>
      <c r="I79" s="31" t="str">
        <f aca="true">IF(AND(G79&lt;&gt;"",H79="En cours"),TODAY()-G79,IF(AND(G79&lt;&gt;"",H79="Cloture"),TODAY()-G79,""))</f>
        <v/>
      </c>
      <c r="J79" s="28"/>
      <c r="K79" s="28"/>
      <c r="L79" s="28"/>
      <c r="M79" s="32"/>
      <c r="N79" s="30"/>
      <c r="O79" s="33" t="str">
        <f aca="false">IF(G79&lt;&gt;"",TEXT(G79,"MMMM YYYY"),"")</f>
        <v/>
      </c>
      <c r="P79" s="33" t="str">
        <f aca="false">IF(G79&lt;&gt;"",YEAR(G79),"")</f>
        <v/>
      </c>
    </row>
    <row r="80" customFormat="false" ht="21.75" hidden="false" customHeight="true" outlineLevel="0" collapsed="false">
      <c r="A80" s="34" t="str">
        <f aca="false">IF(B80&lt;&gt;"",ROW()-2,"")</f>
        <v/>
      </c>
      <c r="B80" s="35"/>
      <c r="C80" s="35"/>
      <c r="D80" s="35"/>
      <c r="E80" s="35"/>
      <c r="F80" s="35"/>
      <c r="G80" s="36"/>
      <c r="H80" s="37"/>
      <c r="I80" s="31" t="str">
        <f aca="true">IF(AND(G80&lt;&gt;"",H80="En cours"),TODAY()-G80,IF(AND(G80&lt;&gt;"",H80="Cloture"),TODAY()-G80,""))</f>
        <v/>
      </c>
      <c r="J80" s="35"/>
      <c r="K80" s="35"/>
      <c r="L80" s="35"/>
      <c r="M80" s="38"/>
      <c r="N80" s="37"/>
      <c r="O80" s="33" t="str">
        <f aca="false">IF(G80&lt;&gt;"",TEXT(G80,"MMMM YYYY"),"")</f>
        <v/>
      </c>
      <c r="P80" s="33" t="str">
        <f aca="false">IF(G80&lt;&gt;"",YEAR(G80),"")</f>
        <v/>
      </c>
    </row>
    <row r="81" customFormat="false" ht="21.75" hidden="false" customHeight="true" outlineLevel="0" collapsed="false">
      <c r="A81" s="27" t="str">
        <f aca="false">IF(B81&lt;&gt;"",ROW()-2,"")</f>
        <v/>
      </c>
      <c r="B81" s="28"/>
      <c r="C81" s="28"/>
      <c r="D81" s="28"/>
      <c r="E81" s="28"/>
      <c r="F81" s="28"/>
      <c r="G81" s="29"/>
      <c r="H81" s="30"/>
      <c r="I81" s="31" t="str">
        <f aca="true">IF(AND(G81&lt;&gt;"",H81="En cours"),TODAY()-G81,IF(AND(G81&lt;&gt;"",H81="Cloture"),TODAY()-G81,""))</f>
        <v/>
      </c>
      <c r="J81" s="28"/>
      <c r="K81" s="28"/>
      <c r="L81" s="28"/>
      <c r="M81" s="32"/>
      <c r="N81" s="30"/>
      <c r="O81" s="33" t="str">
        <f aca="false">IF(G81&lt;&gt;"",TEXT(G81,"MMMM YYYY"),"")</f>
        <v/>
      </c>
      <c r="P81" s="33" t="str">
        <f aca="false">IF(G81&lt;&gt;"",YEAR(G81),"")</f>
        <v/>
      </c>
    </row>
    <row r="82" customFormat="false" ht="21.75" hidden="false" customHeight="true" outlineLevel="0" collapsed="false">
      <c r="A82" s="34" t="str">
        <f aca="false">IF(B82&lt;&gt;"",ROW()-2,"")</f>
        <v/>
      </c>
      <c r="B82" s="35"/>
      <c r="C82" s="35"/>
      <c r="D82" s="35"/>
      <c r="E82" s="35"/>
      <c r="F82" s="35"/>
      <c r="G82" s="36"/>
      <c r="H82" s="37"/>
      <c r="I82" s="31" t="str">
        <f aca="true">IF(AND(G82&lt;&gt;"",H82="En cours"),TODAY()-G82,IF(AND(G82&lt;&gt;"",H82="Cloture"),TODAY()-G82,""))</f>
        <v/>
      </c>
      <c r="J82" s="35"/>
      <c r="K82" s="35"/>
      <c r="L82" s="35"/>
      <c r="M82" s="38"/>
      <c r="N82" s="37"/>
      <c r="O82" s="33" t="str">
        <f aca="false">IF(G82&lt;&gt;"",TEXT(G82,"MMMM YYYY"),"")</f>
        <v/>
      </c>
      <c r="P82" s="33" t="str">
        <f aca="false">IF(G82&lt;&gt;"",YEAR(G82),"")</f>
        <v/>
      </c>
    </row>
    <row r="83" customFormat="false" ht="21.75" hidden="false" customHeight="true" outlineLevel="0" collapsed="false">
      <c r="A83" s="27" t="str">
        <f aca="false">IF(B83&lt;&gt;"",ROW()-2,"")</f>
        <v/>
      </c>
      <c r="B83" s="28"/>
      <c r="C83" s="28"/>
      <c r="D83" s="28"/>
      <c r="E83" s="28"/>
      <c r="F83" s="28"/>
      <c r="G83" s="29"/>
      <c r="H83" s="30"/>
      <c r="I83" s="31" t="str">
        <f aca="true">IF(AND(G83&lt;&gt;"",H83="En cours"),TODAY()-G83,IF(AND(G83&lt;&gt;"",H83="Cloture"),TODAY()-G83,""))</f>
        <v/>
      </c>
      <c r="J83" s="28"/>
      <c r="K83" s="28"/>
      <c r="L83" s="28"/>
      <c r="M83" s="32"/>
      <c r="N83" s="30"/>
      <c r="O83" s="33" t="str">
        <f aca="false">IF(G83&lt;&gt;"",TEXT(G83,"MMMM YYYY"),"")</f>
        <v/>
      </c>
      <c r="P83" s="33" t="str">
        <f aca="false">IF(G83&lt;&gt;"",YEAR(G83),"")</f>
        <v/>
      </c>
    </row>
    <row r="84" customFormat="false" ht="21.75" hidden="false" customHeight="true" outlineLevel="0" collapsed="false">
      <c r="A84" s="34" t="str">
        <f aca="false">IF(B84&lt;&gt;"",ROW()-2,"")</f>
        <v/>
      </c>
      <c r="B84" s="35"/>
      <c r="C84" s="35"/>
      <c r="D84" s="35"/>
      <c r="E84" s="35"/>
      <c r="F84" s="35"/>
      <c r="G84" s="36"/>
      <c r="H84" s="37"/>
      <c r="I84" s="31" t="str">
        <f aca="true">IF(AND(G84&lt;&gt;"",H84="En cours"),TODAY()-G84,IF(AND(G84&lt;&gt;"",H84="Cloture"),TODAY()-G84,""))</f>
        <v/>
      </c>
      <c r="J84" s="35"/>
      <c r="K84" s="35"/>
      <c r="L84" s="35"/>
      <c r="M84" s="38"/>
      <c r="N84" s="37"/>
      <c r="O84" s="33" t="str">
        <f aca="false">IF(G84&lt;&gt;"",TEXT(G84,"MMMM YYYY"),"")</f>
        <v/>
      </c>
      <c r="P84" s="33" t="str">
        <f aca="false">IF(G84&lt;&gt;"",YEAR(G84),"")</f>
        <v/>
      </c>
    </row>
    <row r="85" customFormat="false" ht="21.75" hidden="false" customHeight="true" outlineLevel="0" collapsed="false">
      <c r="A85" s="27" t="str">
        <f aca="false">IF(B85&lt;&gt;"",ROW()-2,"")</f>
        <v/>
      </c>
      <c r="B85" s="28"/>
      <c r="C85" s="28"/>
      <c r="D85" s="28"/>
      <c r="E85" s="28"/>
      <c r="F85" s="28"/>
      <c r="G85" s="29"/>
      <c r="H85" s="30"/>
      <c r="I85" s="31" t="str">
        <f aca="true">IF(AND(G85&lt;&gt;"",H85="En cours"),TODAY()-G85,IF(AND(G85&lt;&gt;"",H85="Cloture"),TODAY()-G85,""))</f>
        <v/>
      </c>
      <c r="J85" s="28"/>
      <c r="K85" s="28"/>
      <c r="L85" s="28"/>
      <c r="M85" s="32"/>
      <c r="N85" s="30"/>
      <c r="O85" s="33" t="str">
        <f aca="false">IF(G85&lt;&gt;"",TEXT(G85,"MMMM YYYY"),"")</f>
        <v/>
      </c>
      <c r="P85" s="33" t="str">
        <f aca="false">IF(G85&lt;&gt;"",YEAR(G85),"")</f>
        <v/>
      </c>
    </row>
    <row r="86" customFormat="false" ht="21.75" hidden="false" customHeight="true" outlineLevel="0" collapsed="false">
      <c r="A86" s="34" t="str">
        <f aca="false">IF(B86&lt;&gt;"",ROW()-2,"")</f>
        <v/>
      </c>
      <c r="B86" s="35"/>
      <c r="C86" s="35"/>
      <c r="D86" s="35"/>
      <c r="E86" s="35"/>
      <c r="F86" s="35"/>
      <c r="G86" s="36"/>
      <c r="H86" s="37"/>
      <c r="I86" s="31" t="str">
        <f aca="true">IF(AND(G86&lt;&gt;"",H86="En cours"),TODAY()-G86,IF(AND(G86&lt;&gt;"",H86="Cloture"),TODAY()-G86,""))</f>
        <v/>
      </c>
      <c r="J86" s="35"/>
      <c r="K86" s="35"/>
      <c r="L86" s="35"/>
      <c r="M86" s="38"/>
      <c r="N86" s="37"/>
      <c r="O86" s="33" t="str">
        <f aca="false">IF(G86&lt;&gt;"",TEXT(G86,"MMMM YYYY"),"")</f>
        <v/>
      </c>
      <c r="P86" s="33" t="str">
        <f aca="false">IF(G86&lt;&gt;"",YEAR(G86),"")</f>
        <v/>
      </c>
    </row>
    <row r="87" customFormat="false" ht="21.75" hidden="false" customHeight="true" outlineLevel="0" collapsed="false">
      <c r="A87" s="27" t="str">
        <f aca="false">IF(B87&lt;&gt;"",ROW()-2,"")</f>
        <v/>
      </c>
      <c r="B87" s="28"/>
      <c r="C87" s="28"/>
      <c r="D87" s="28"/>
      <c r="E87" s="28"/>
      <c r="F87" s="28"/>
      <c r="G87" s="29"/>
      <c r="H87" s="30"/>
      <c r="I87" s="31" t="str">
        <f aca="true">IF(AND(G87&lt;&gt;"",H87="En cours"),TODAY()-G87,IF(AND(G87&lt;&gt;"",H87="Cloture"),TODAY()-G87,""))</f>
        <v/>
      </c>
      <c r="J87" s="28"/>
      <c r="K87" s="28"/>
      <c r="L87" s="28"/>
      <c r="M87" s="32"/>
      <c r="N87" s="30"/>
      <c r="O87" s="33" t="str">
        <f aca="false">IF(G87&lt;&gt;"",TEXT(G87,"MMMM YYYY"),"")</f>
        <v/>
      </c>
      <c r="P87" s="33" t="str">
        <f aca="false">IF(G87&lt;&gt;"",YEAR(G87),"")</f>
        <v/>
      </c>
    </row>
    <row r="88" customFormat="false" ht="21.75" hidden="false" customHeight="true" outlineLevel="0" collapsed="false">
      <c r="A88" s="34" t="str">
        <f aca="false">IF(B88&lt;&gt;"",ROW()-2,"")</f>
        <v/>
      </c>
      <c r="B88" s="35"/>
      <c r="C88" s="35"/>
      <c r="D88" s="35"/>
      <c r="E88" s="35"/>
      <c r="F88" s="35"/>
      <c r="G88" s="36"/>
      <c r="H88" s="37"/>
      <c r="I88" s="31" t="str">
        <f aca="true">IF(AND(G88&lt;&gt;"",H88="En cours"),TODAY()-G88,IF(AND(G88&lt;&gt;"",H88="Cloture"),TODAY()-G88,""))</f>
        <v/>
      </c>
      <c r="J88" s="35"/>
      <c r="K88" s="35"/>
      <c r="L88" s="35"/>
      <c r="M88" s="38"/>
      <c r="N88" s="37"/>
      <c r="O88" s="33" t="str">
        <f aca="false">IF(G88&lt;&gt;"",TEXT(G88,"MMMM YYYY"),"")</f>
        <v/>
      </c>
      <c r="P88" s="33" t="str">
        <f aca="false">IF(G88&lt;&gt;"",YEAR(G88),"")</f>
        <v/>
      </c>
    </row>
    <row r="89" customFormat="false" ht="21.75" hidden="false" customHeight="true" outlineLevel="0" collapsed="false">
      <c r="A89" s="27" t="str">
        <f aca="false">IF(B89&lt;&gt;"",ROW()-2,"")</f>
        <v/>
      </c>
      <c r="B89" s="28"/>
      <c r="C89" s="28"/>
      <c r="D89" s="28"/>
      <c r="E89" s="28"/>
      <c r="F89" s="28"/>
      <c r="G89" s="29"/>
      <c r="H89" s="30"/>
      <c r="I89" s="31" t="str">
        <f aca="true">IF(AND(G89&lt;&gt;"",H89="En cours"),TODAY()-G89,IF(AND(G89&lt;&gt;"",H89="Cloture"),TODAY()-G89,""))</f>
        <v/>
      </c>
      <c r="J89" s="28"/>
      <c r="K89" s="28"/>
      <c r="L89" s="28"/>
      <c r="M89" s="32"/>
      <c r="N89" s="30"/>
      <c r="O89" s="33" t="str">
        <f aca="false">IF(G89&lt;&gt;"",TEXT(G89,"MMMM YYYY"),"")</f>
        <v/>
      </c>
      <c r="P89" s="33" t="str">
        <f aca="false">IF(G89&lt;&gt;"",YEAR(G89),"")</f>
        <v/>
      </c>
    </row>
    <row r="90" customFormat="false" ht="21.75" hidden="false" customHeight="true" outlineLevel="0" collapsed="false">
      <c r="A90" s="34" t="str">
        <f aca="false">IF(B90&lt;&gt;"",ROW()-2,"")</f>
        <v/>
      </c>
      <c r="B90" s="35"/>
      <c r="C90" s="35"/>
      <c r="D90" s="35"/>
      <c r="E90" s="35"/>
      <c r="F90" s="35"/>
      <c r="G90" s="36"/>
      <c r="H90" s="37"/>
      <c r="I90" s="31" t="str">
        <f aca="true">IF(AND(G90&lt;&gt;"",H90="En cours"),TODAY()-G90,IF(AND(G90&lt;&gt;"",H90="Cloture"),TODAY()-G90,""))</f>
        <v/>
      </c>
      <c r="J90" s="35"/>
      <c r="K90" s="35"/>
      <c r="L90" s="35"/>
      <c r="M90" s="38"/>
      <c r="N90" s="37"/>
      <c r="O90" s="33" t="str">
        <f aca="false">IF(G90&lt;&gt;"",TEXT(G90,"MMMM YYYY"),"")</f>
        <v/>
      </c>
      <c r="P90" s="33" t="str">
        <f aca="false">IF(G90&lt;&gt;"",YEAR(G90),"")</f>
        <v/>
      </c>
    </row>
    <row r="91" customFormat="false" ht="21.75" hidden="false" customHeight="true" outlineLevel="0" collapsed="false">
      <c r="A91" s="27" t="str">
        <f aca="false">IF(B91&lt;&gt;"",ROW()-2,"")</f>
        <v/>
      </c>
      <c r="B91" s="28"/>
      <c r="C91" s="28"/>
      <c r="D91" s="28"/>
      <c r="E91" s="28"/>
      <c r="F91" s="28"/>
      <c r="G91" s="29"/>
      <c r="H91" s="30"/>
      <c r="I91" s="31" t="str">
        <f aca="true">IF(AND(G91&lt;&gt;"",H91="En cours"),TODAY()-G91,IF(AND(G91&lt;&gt;"",H91="Cloture"),TODAY()-G91,""))</f>
        <v/>
      </c>
      <c r="J91" s="28"/>
      <c r="K91" s="28"/>
      <c r="L91" s="28"/>
      <c r="M91" s="32"/>
      <c r="N91" s="30"/>
      <c r="O91" s="33" t="str">
        <f aca="false">IF(G91&lt;&gt;"",TEXT(G91,"MMMM YYYY"),"")</f>
        <v/>
      </c>
      <c r="P91" s="33" t="str">
        <f aca="false">IF(G91&lt;&gt;"",YEAR(G91),"")</f>
        <v/>
      </c>
    </row>
    <row r="92" customFormat="false" ht="21.75" hidden="false" customHeight="true" outlineLevel="0" collapsed="false">
      <c r="A92" s="34" t="str">
        <f aca="false">IF(B92&lt;&gt;"",ROW()-2,"")</f>
        <v/>
      </c>
      <c r="B92" s="35"/>
      <c r="C92" s="35"/>
      <c r="D92" s="35"/>
      <c r="E92" s="35"/>
      <c r="F92" s="35"/>
      <c r="G92" s="36"/>
      <c r="H92" s="37"/>
      <c r="I92" s="31" t="str">
        <f aca="true">IF(AND(G92&lt;&gt;"",H92="En cours"),TODAY()-G92,IF(AND(G92&lt;&gt;"",H92="Cloture"),TODAY()-G92,""))</f>
        <v/>
      </c>
      <c r="J92" s="35"/>
      <c r="K92" s="35"/>
      <c r="L92" s="35"/>
      <c r="M92" s="38"/>
      <c r="N92" s="37"/>
      <c r="O92" s="33" t="str">
        <f aca="false">IF(G92&lt;&gt;"",TEXT(G92,"MMMM YYYY"),"")</f>
        <v/>
      </c>
      <c r="P92" s="33" t="str">
        <f aca="false">IF(G92&lt;&gt;"",YEAR(G92),"")</f>
        <v/>
      </c>
    </row>
    <row r="93" customFormat="false" ht="21.75" hidden="false" customHeight="true" outlineLevel="0" collapsed="false">
      <c r="A93" s="27" t="str">
        <f aca="false">IF(B93&lt;&gt;"",ROW()-2,"")</f>
        <v/>
      </c>
      <c r="B93" s="28"/>
      <c r="C93" s="28"/>
      <c r="D93" s="28"/>
      <c r="E93" s="28"/>
      <c r="F93" s="28"/>
      <c r="G93" s="29"/>
      <c r="H93" s="30"/>
      <c r="I93" s="31" t="str">
        <f aca="true">IF(AND(G93&lt;&gt;"",H93="En cours"),TODAY()-G93,IF(AND(G93&lt;&gt;"",H93="Cloture"),TODAY()-G93,""))</f>
        <v/>
      </c>
      <c r="J93" s="28"/>
      <c r="K93" s="28"/>
      <c r="L93" s="28"/>
      <c r="M93" s="32"/>
      <c r="N93" s="30"/>
      <c r="O93" s="33" t="str">
        <f aca="false">IF(G93&lt;&gt;"",TEXT(G93,"MMMM YYYY"),"")</f>
        <v/>
      </c>
      <c r="P93" s="33" t="str">
        <f aca="false">IF(G93&lt;&gt;"",YEAR(G93),"")</f>
        <v/>
      </c>
    </row>
    <row r="94" customFormat="false" ht="21.75" hidden="false" customHeight="true" outlineLevel="0" collapsed="false">
      <c r="A94" s="34" t="str">
        <f aca="false">IF(B94&lt;&gt;"",ROW()-2,"")</f>
        <v/>
      </c>
      <c r="B94" s="35"/>
      <c r="C94" s="35"/>
      <c r="D94" s="35"/>
      <c r="E94" s="35"/>
      <c r="F94" s="35"/>
      <c r="G94" s="36"/>
      <c r="H94" s="37"/>
      <c r="I94" s="31" t="str">
        <f aca="true">IF(AND(G94&lt;&gt;"",H94="En cours"),TODAY()-G94,IF(AND(G94&lt;&gt;"",H94="Cloture"),TODAY()-G94,""))</f>
        <v/>
      </c>
      <c r="J94" s="35"/>
      <c r="K94" s="35"/>
      <c r="L94" s="35"/>
      <c r="M94" s="38"/>
      <c r="N94" s="37"/>
      <c r="O94" s="33" t="str">
        <f aca="false">IF(G94&lt;&gt;"",TEXT(G94,"MMMM YYYY"),"")</f>
        <v/>
      </c>
      <c r="P94" s="33" t="str">
        <f aca="false">IF(G94&lt;&gt;"",YEAR(G94),"")</f>
        <v/>
      </c>
    </row>
    <row r="95" customFormat="false" ht="21.75" hidden="false" customHeight="true" outlineLevel="0" collapsed="false">
      <c r="A95" s="27" t="str">
        <f aca="false">IF(B95&lt;&gt;"",ROW()-2,"")</f>
        <v/>
      </c>
      <c r="B95" s="28"/>
      <c r="C95" s="28"/>
      <c r="D95" s="28"/>
      <c r="E95" s="28"/>
      <c r="F95" s="28"/>
      <c r="G95" s="29"/>
      <c r="H95" s="30"/>
      <c r="I95" s="31" t="str">
        <f aca="true">IF(AND(G95&lt;&gt;"",H95="En cours"),TODAY()-G95,IF(AND(G95&lt;&gt;"",H95="Cloture"),TODAY()-G95,""))</f>
        <v/>
      </c>
      <c r="J95" s="28"/>
      <c r="K95" s="28"/>
      <c r="L95" s="28"/>
      <c r="M95" s="32"/>
      <c r="N95" s="30"/>
      <c r="O95" s="33" t="str">
        <f aca="false">IF(G95&lt;&gt;"",TEXT(G95,"MMMM YYYY"),"")</f>
        <v/>
      </c>
      <c r="P95" s="33" t="str">
        <f aca="false">IF(G95&lt;&gt;"",YEAR(G95),"")</f>
        <v/>
      </c>
    </row>
    <row r="96" customFormat="false" ht="21.75" hidden="false" customHeight="true" outlineLevel="0" collapsed="false">
      <c r="A96" s="34" t="str">
        <f aca="false">IF(B96&lt;&gt;"",ROW()-2,"")</f>
        <v/>
      </c>
      <c r="B96" s="35"/>
      <c r="C96" s="35"/>
      <c r="D96" s="35"/>
      <c r="E96" s="35"/>
      <c r="F96" s="35"/>
      <c r="G96" s="36"/>
      <c r="H96" s="37"/>
      <c r="I96" s="31" t="str">
        <f aca="true">IF(AND(G96&lt;&gt;"",H96="En cours"),TODAY()-G96,IF(AND(G96&lt;&gt;"",H96="Cloture"),TODAY()-G96,""))</f>
        <v/>
      </c>
      <c r="J96" s="35"/>
      <c r="K96" s="35"/>
      <c r="L96" s="35"/>
      <c r="M96" s="38"/>
      <c r="N96" s="37"/>
      <c r="O96" s="33" t="str">
        <f aca="false">IF(G96&lt;&gt;"",TEXT(G96,"MMMM YYYY"),"")</f>
        <v/>
      </c>
      <c r="P96" s="33" t="str">
        <f aca="false">IF(G96&lt;&gt;"",YEAR(G96),"")</f>
        <v/>
      </c>
    </row>
    <row r="97" customFormat="false" ht="21.75" hidden="false" customHeight="true" outlineLevel="0" collapsed="false">
      <c r="A97" s="27" t="str">
        <f aca="false">IF(B97&lt;&gt;"",ROW()-2,"")</f>
        <v/>
      </c>
      <c r="B97" s="28"/>
      <c r="C97" s="28"/>
      <c r="D97" s="28"/>
      <c r="E97" s="28"/>
      <c r="F97" s="28"/>
      <c r="G97" s="29"/>
      <c r="H97" s="30"/>
      <c r="I97" s="31" t="str">
        <f aca="true">IF(AND(G97&lt;&gt;"",H97="En cours"),TODAY()-G97,IF(AND(G97&lt;&gt;"",H97="Cloture"),TODAY()-G97,""))</f>
        <v/>
      </c>
      <c r="J97" s="28"/>
      <c r="K97" s="28"/>
      <c r="L97" s="28"/>
      <c r="M97" s="32"/>
      <c r="N97" s="30"/>
      <c r="O97" s="33" t="str">
        <f aca="false">IF(G97&lt;&gt;"",TEXT(G97,"MMMM YYYY"),"")</f>
        <v/>
      </c>
      <c r="P97" s="33" t="str">
        <f aca="false">IF(G97&lt;&gt;"",YEAR(G97),"")</f>
        <v/>
      </c>
    </row>
    <row r="98" customFormat="false" ht="21.75" hidden="false" customHeight="true" outlineLevel="0" collapsed="false">
      <c r="A98" s="34" t="str">
        <f aca="false">IF(B98&lt;&gt;"",ROW()-2,"")</f>
        <v/>
      </c>
      <c r="B98" s="35"/>
      <c r="C98" s="35"/>
      <c r="D98" s="35"/>
      <c r="E98" s="35"/>
      <c r="F98" s="35"/>
      <c r="G98" s="36"/>
      <c r="H98" s="37"/>
      <c r="I98" s="31" t="str">
        <f aca="true">IF(AND(G98&lt;&gt;"",H98="En cours"),TODAY()-G98,IF(AND(G98&lt;&gt;"",H98="Cloture"),TODAY()-G98,""))</f>
        <v/>
      </c>
      <c r="J98" s="35"/>
      <c r="K98" s="35"/>
      <c r="L98" s="35"/>
      <c r="M98" s="38"/>
      <c r="N98" s="37"/>
      <c r="O98" s="33" t="str">
        <f aca="false">IF(G98&lt;&gt;"",TEXT(G98,"MMMM YYYY"),"")</f>
        <v/>
      </c>
      <c r="P98" s="33" t="str">
        <f aca="false">IF(G98&lt;&gt;"",YEAR(G98),"")</f>
        <v/>
      </c>
    </row>
    <row r="99" customFormat="false" ht="21.75" hidden="false" customHeight="true" outlineLevel="0" collapsed="false">
      <c r="A99" s="27" t="str">
        <f aca="false">IF(B99&lt;&gt;"",ROW()-2,"")</f>
        <v/>
      </c>
      <c r="B99" s="28"/>
      <c r="C99" s="28"/>
      <c r="D99" s="28"/>
      <c r="E99" s="28"/>
      <c r="F99" s="28"/>
      <c r="G99" s="29"/>
      <c r="H99" s="30"/>
      <c r="I99" s="31" t="str">
        <f aca="true">IF(AND(G99&lt;&gt;"",H99="En cours"),TODAY()-G99,IF(AND(G99&lt;&gt;"",H99="Cloture"),TODAY()-G99,""))</f>
        <v/>
      </c>
      <c r="J99" s="28"/>
      <c r="K99" s="28"/>
      <c r="L99" s="28"/>
      <c r="M99" s="32"/>
      <c r="N99" s="30"/>
      <c r="O99" s="33" t="str">
        <f aca="false">IF(G99&lt;&gt;"",TEXT(G99,"MMMM YYYY"),"")</f>
        <v/>
      </c>
      <c r="P99" s="33" t="str">
        <f aca="false">IF(G99&lt;&gt;"",YEAR(G99),"")</f>
        <v/>
      </c>
    </row>
    <row r="100" customFormat="false" ht="21.75" hidden="false" customHeight="true" outlineLevel="0" collapsed="false">
      <c r="A100" s="34" t="str">
        <f aca="false">IF(B100&lt;&gt;"",ROW()-2,"")</f>
        <v/>
      </c>
      <c r="B100" s="35"/>
      <c r="C100" s="35"/>
      <c r="D100" s="35"/>
      <c r="E100" s="35"/>
      <c r="F100" s="35"/>
      <c r="G100" s="36"/>
      <c r="H100" s="37"/>
      <c r="I100" s="31" t="str">
        <f aca="true">IF(AND(G100&lt;&gt;"",H100="En cours"),TODAY()-G100,IF(AND(G100&lt;&gt;"",H100="Cloture"),TODAY()-G100,""))</f>
        <v/>
      </c>
      <c r="J100" s="35"/>
      <c r="K100" s="35"/>
      <c r="L100" s="35"/>
      <c r="M100" s="38"/>
      <c r="N100" s="37"/>
      <c r="O100" s="33" t="str">
        <f aca="false">IF(G100&lt;&gt;"",TEXT(G100,"MMMM YYYY"),"")</f>
        <v/>
      </c>
      <c r="P100" s="33" t="str">
        <f aca="false">IF(G100&lt;&gt;"",YEAR(G100),"")</f>
        <v/>
      </c>
    </row>
    <row r="101" customFormat="false" ht="21.75" hidden="false" customHeight="true" outlineLevel="0" collapsed="false">
      <c r="A101" s="27" t="str">
        <f aca="false">IF(B101&lt;&gt;"",ROW()-2,"")</f>
        <v/>
      </c>
      <c r="B101" s="28"/>
      <c r="C101" s="28"/>
      <c r="D101" s="28"/>
      <c r="E101" s="28"/>
      <c r="F101" s="28"/>
      <c r="G101" s="29"/>
      <c r="H101" s="30"/>
      <c r="I101" s="31" t="str">
        <f aca="true">IF(AND(G101&lt;&gt;"",H101="En cours"),TODAY()-G101,IF(AND(G101&lt;&gt;"",H101="Cloture"),TODAY()-G101,""))</f>
        <v/>
      </c>
      <c r="J101" s="28"/>
      <c r="K101" s="28"/>
      <c r="L101" s="28"/>
      <c r="M101" s="32"/>
      <c r="N101" s="30"/>
      <c r="O101" s="33" t="str">
        <f aca="false">IF(G101&lt;&gt;"",TEXT(G101,"MMMM YYYY"),"")</f>
        <v/>
      </c>
      <c r="P101" s="33" t="str">
        <f aca="false">IF(G101&lt;&gt;"",YEAR(G101),"")</f>
        <v/>
      </c>
    </row>
    <row r="102" customFormat="false" ht="21.75" hidden="false" customHeight="true" outlineLevel="0" collapsed="false">
      <c r="A102" s="34" t="str">
        <f aca="false">IF(B102&lt;&gt;"",ROW()-2,"")</f>
        <v/>
      </c>
      <c r="B102" s="35"/>
      <c r="C102" s="35"/>
      <c r="D102" s="35"/>
      <c r="E102" s="35"/>
      <c r="F102" s="35"/>
      <c r="G102" s="36"/>
      <c r="H102" s="37"/>
      <c r="I102" s="31" t="str">
        <f aca="true">IF(AND(G102&lt;&gt;"",H102="En cours"),TODAY()-G102,IF(AND(G102&lt;&gt;"",H102="Cloture"),TODAY()-G102,""))</f>
        <v/>
      </c>
      <c r="J102" s="35"/>
      <c r="K102" s="35"/>
      <c r="L102" s="35"/>
      <c r="M102" s="38"/>
      <c r="N102" s="37"/>
      <c r="O102" s="33" t="str">
        <f aca="false">IF(G102&lt;&gt;"",TEXT(G102,"MMMM YYYY"),"")</f>
        <v/>
      </c>
      <c r="P102" s="33" t="str">
        <f aca="false">IF(G102&lt;&gt;"",YEAR(G102),"")</f>
        <v/>
      </c>
    </row>
    <row r="103" customFormat="false" ht="21.75" hidden="false" customHeight="true" outlineLevel="0" collapsed="false">
      <c r="A103" s="27" t="str">
        <f aca="false">IF(B103&lt;&gt;"",ROW()-2,"")</f>
        <v/>
      </c>
      <c r="B103" s="28"/>
      <c r="C103" s="28"/>
      <c r="D103" s="28"/>
      <c r="E103" s="28"/>
      <c r="F103" s="28"/>
      <c r="G103" s="29"/>
      <c r="H103" s="30"/>
      <c r="I103" s="31" t="str">
        <f aca="true">IF(AND(G103&lt;&gt;"",H103="En cours"),TODAY()-G103,IF(AND(G103&lt;&gt;"",H103="Cloture"),TODAY()-G103,""))</f>
        <v/>
      </c>
      <c r="J103" s="28"/>
      <c r="K103" s="28"/>
      <c r="L103" s="28"/>
      <c r="M103" s="32"/>
      <c r="N103" s="30"/>
      <c r="O103" s="33" t="str">
        <f aca="false">IF(G103&lt;&gt;"",TEXT(G103,"MMMM YYYY"),"")</f>
        <v/>
      </c>
      <c r="P103" s="33" t="str">
        <f aca="false">IF(G103&lt;&gt;"",YEAR(G103),"")</f>
        <v/>
      </c>
    </row>
    <row r="104" customFormat="false" ht="21.75" hidden="false" customHeight="true" outlineLevel="0" collapsed="false">
      <c r="A104" s="34" t="str">
        <f aca="false">IF(B104&lt;&gt;"",ROW()-2,"")</f>
        <v/>
      </c>
      <c r="B104" s="35"/>
      <c r="C104" s="35"/>
      <c r="D104" s="35"/>
      <c r="E104" s="35"/>
      <c r="F104" s="35"/>
      <c r="G104" s="36"/>
      <c r="H104" s="37"/>
      <c r="I104" s="31" t="str">
        <f aca="true">IF(AND(G104&lt;&gt;"",H104="En cours"),TODAY()-G104,IF(AND(G104&lt;&gt;"",H104="Cloture"),TODAY()-G104,""))</f>
        <v/>
      </c>
      <c r="J104" s="35"/>
      <c r="K104" s="35"/>
      <c r="L104" s="35"/>
      <c r="M104" s="38"/>
      <c r="N104" s="37"/>
      <c r="O104" s="33" t="str">
        <f aca="false">IF(G104&lt;&gt;"",TEXT(G104,"MMMM YYYY"),"")</f>
        <v/>
      </c>
      <c r="P104" s="33" t="str">
        <f aca="false">IF(G104&lt;&gt;"",YEAR(G104),"")</f>
        <v/>
      </c>
    </row>
    <row r="105" customFormat="false" ht="21.75" hidden="false" customHeight="true" outlineLevel="0" collapsed="false">
      <c r="A105" s="27" t="str">
        <f aca="false">IF(B105&lt;&gt;"",ROW()-2,"")</f>
        <v/>
      </c>
      <c r="B105" s="28"/>
      <c r="C105" s="28"/>
      <c r="D105" s="28"/>
      <c r="E105" s="28"/>
      <c r="F105" s="28"/>
      <c r="G105" s="29"/>
      <c r="H105" s="30"/>
      <c r="I105" s="31" t="str">
        <f aca="true">IF(AND(G105&lt;&gt;"",H105="En cours"),TODAY()-G105,IF(AND(G105&lt;&gt;"",H105="Cloture"),TODAY()-G105,""))</f>
        <v/>
      </c>
      <c r="J105" s="28"/>
      <c r="K105" s="28"/>
      <c r="L105" s="28"/>
      <c r="M105" s="32"/>
      <c r="N105" s="30"/>
      <c r="O105" s="33" t="str">
        <f aca="false">IF(G105&lt;&gt;"",TEXT(G105,"MMMM YYYY"),"")</f>
        <v/>
      </c>
      <c r="P105" s="33" t="str">
        <f aca="false">IF(G105&lt;&gt;"",YEAR(G105),"")</f>
        <v/>
      </c>
    </row>
    <row r="106" customFormat="false" ht="21.75" hidden="false" customHeight="true" outlineLevel="0" collapsed="false">
      <c r="A106" s="34" t="str">
        <f aca="false">IF(B106&lt;&gt;"",ROW()-2,"")</f>
        <v/>
      </c>
      <c r="B106" s="35"/>
      <c r="C106" s="35"/>
      <c r="D106" s="35"/>
      <c r="E106" s="35"/>
      <c r="F106" s="35"/>
      <c r="G106" s="36"/>
      <c r="H106" s="37"/>
      <c r="I106" s="31" t="str">
        <f aca="true">IF(AND(G106&lt;&gt;"",H106="En cours"),TODAY()-G106,IF(AND(G106&lt;&gt;"",H106="Cloture"),TODAY()-G106,""))</f>
        <v/>
      </c>
      <c r="J106" s="35"/>
      <c r="K106" s="35"/>
      <c r="L106" s="35"/>
      <c r="M106" s="38"/>
      <c r="N106" s="37"/>
      <c r="O106" s="33" t="str">
        <f aca="false">IF(G106&lt;&gt;"",TEXT(G106,"MMMM YYYY"),"")</f>
        <v/>
      </c>
      <c r="P106" s="33" t="str">
        <f aca="false">IF(G106&lt;&gt;"",YEAR(G106),"")</f>
        <v/>
      </c>
    </row>
    <row r="107" customFormat="false" ht="21.75" hidden="false" customHeight="true" outlineLevel="0" collapsed="false">
      <c r="A107" s="27" t="str">
        <f aca="false">IF(B107&lt;&gt;"",ROW()-2,"")</f>
        <v/>
      </c>
      <c r="B107" s="28"/>
      <c r="C107" s="28"/>
      <c r="D107" s="28"/>
      <c r="E107" s="28"/>
      <c r="F107" s="28"/>
      <c r="G107" s="29"/>
      <c r="H107" s="30"/>
      <c r="I107" s="31" t="str">
        <f aca="true">IF(AND(G107&lt;&gt;"",H107="En cours"),TODAY()-G107,IF(AND(G107&lt;&gt;"",H107="Cloture"),TODAY()-G107,""))</f>
        <v/>
      </c>
      <c r="J107" s="28"/>
      <c r="K107" s="28"/>
      <c r="L107" s="28"/>
      <c r="M107" s="32"/>
      <c r="N107" s="30"/>
      <c r="O107" s="33" t="str">
        <f aca="false">IF(G107&lt;&gt;"",TEXT(G107,"MMMM YYYY"),"")</f>
        <v/>
      </c>
      <c r="P107" s="33" t="str">
        <f aca="false">IF(G107&lt;&gt;"",YEAR(G107),"")</f>
        <v/>
      </c>
    </row>
    <row r="108" customFormat="false" ht="21.75" hidden="false" customHeight="true" outlineLevel="0" collapsed="false">
      <c r="A108" s="34" t="str">
        <f aca="false">IF(B108&lt;&gt;"",ROW()-2,"")</f>
        <v/>
      </c>
      <c r="B108" s="35"/>
      <c r="C108" s="35"/>
      <c r="D108" s="35"/>
      <c r="E108" s="35"/>
      <c r="F108" s="35"/>
      <c r="G108" s="36"/>
      <c r="H108" s="37"/>
      <c r="I108" s="31" t="str">
        <f aca="true">IF(AND(G108&lt;&gt;"",H108="En cours"),TODAY()-G108,IF(AND(G108&lt;&gt;"",H108="Cloture"),TODAY()-G108,""))</f>
        <v/>
      </c>
      <c r="J108" s="35"/>
      <c r="K108" s="35"/>
      <c r="L108" s="35"/>
      <c r="M108" s="38"/>
      <c r="N108" s="37"/>
      <c r="O108" s="33" t="str">
        <f aca="false">IF(G108&lt;&gt;"",TEXT(G108,"MMMM YYYY"),"")</f>
        <v/>
      </c>
      <c r="P108" s="33" t="str">
        <f aca="false">IF(G108&lt;&gt;"",YEAR(G108),"")</f>
        <v/>
      </c>
    </row>
    <row r="109" customFormat="false" ht="21.75" hidden="false" customHeight="true" outlineLevel="0" collapsed="false">
      <c r="A109" s="27" t="str">
        <f aca="false">IF(B109&lt;&gt;"",ROW()-2,"")</f>
        <v/>
      </c>
      <c r="B109" s="28"/>
      <c r="C109" s="28"/>
      <c r="D109" s="28"/>
      <c r="E109" s="28"/>
      <c r="F109" s="28"/>
      <c r="G109" s="29"/>
      <c r="H109" s="30"/>
      <c r="I109" s="31" t="str">
        <f aca="true">IF(AND(G109&lt;&gt;"",H109="En cours"),TODAY()-G109,IF(AND(G109&lt;&gt;"",H109="Cloture"),TODAY()-G109,""))</f>
        <v/>
      </c>
      <c r="J109" s="28"/>
      <c r="K109" s="28"/>
      <c r="L109" s="28"/>
      <c r="M109" s="32"/>
      <c r="N109" s="30"/>
      <c r="O109" s="33" t="str">
        <f aca="false">IF(G109&lt;&gt;"",TEXT(G109,"MMMM YYYY"),"")</f>
        <v/>
      </c>
      <c r="P109" s="33" t="str">
        <f aca="false">IF(G109&lt;&gt;"",YEAR(G109),"")</f>
        <v/>
      </c>
    </row>
    <row r="110" customFormat="false" ht="21.75" hidden="false" customHeight="true" outlineLevel="0" collapsed="false">
      <c r="A110" s="34" t="str">
        <f aca="false">IF(B110&lt;&gt;"",ROW()-2,"")</f>
        <v/>
      </c>
      <c r="B110" s="35"/>
      <c r="C110" s="35"/>
      <c r="D110" s="35"/>
      <c r="E110" s="35"/>
      <c r="F110" s="35"/>
      <c r="G110" s="36"/>
      <c r="H110" s="37"/>
      <c r="I110" s="31" t="str">
        <f aca="true">IF(AND(G110&lt;&gt;"",H110="En cours"),TODAY()-G110,IF(AND(G110&lt;&gt;"",H110="Cloture"),TODAY()-G110,""))</f>
        <v/>
      </c>
      <c r="J110" s="35"/>
      <c r="K110" s="35"/>
      <c r="L110" s="35"/>
      <c r="M110" s="38"/>
      <c r="N110" s="37"/>
      <c r="O110" s="33" t="str">
        <f aca="false">IF(G110&lt;&gt;"",TEXT(G110,"MMMM YYYY"),"")</f>
        <v/>
      </c>
      <c r="P110" s="33" t="str">
        <f aca="false">IF(G110&lt;&gt;"",YEAR(G110),"")</f>
        <v/>
      </c>
    </row>
    <row r="111" customFormat="false" ht="21.75" hidden="false" customHeight="true" outlineLevel="0" collapsed="false">
      <c r="A111" s="27" t="str">
        <f aca="false">IF(B111&lt;&gt;"",ROW()-2,"")</f>
        <v/>
      </c>
      <c r="B111" s="28"/>
      <c r="C111" s="28"/>
      <c r="D111" s="28"/>
      <c r="E111" s="28"/>
      <c r="F111" s="28"/>
      <c r="G111" s="29"/>
      <c r="H111" s="30"/>
      <c r="I111" s="31" t="str">
        <f aca="true">IF(AND(G111&lt;&gt;"",H111="En cours"),TODAY()-G111,IF(AND(G111&lt;&gt;"",H111="Cloture"),TODAY()-G111,""))</f>
        <v/>
      </c>
      <c r="J111" s="28"/>
      <c r="K111" s="28"/>
      <c r="L111" s="28"/>
      <c r="M111" s="32"/>
      <c r="N111" s="30"/>
      <c r="O111" s="33" t="str">
        <f aca="false">IF(G111&lt;&gt;"",TEXT(G111,"MMMM YYYY"),"")</f>
        <v/>
      </c>
      <c r="P111" s="33" t="str">
        <f aca="false">IF(G111&lt;&gt;"",YEAR(G111),"")</f>
        <v/>
      </c>
    </row>
    <row r="112" customFormat="false" ht="21.75" hidden="false" customHeight="true" outlineLevel="0" collapsed="false">
      <c r="A112" s="34" t="str">
        <f aca="false">IF(B112&lt;&gt;"",ROW()-2,"")</f>
        <v/>
      </c>
      <c r="B112" s="35"/>
      <c r="C112" s="35"/>
      <c r="D112" s="35"/>
      <c r="E112" s="35"/>
      <c r="F112" s="35"/>
      <c r="G112" s="36"/>
      <c r="H112" s="37"/>
      <c r="I112" s="31" t="str">
        <f aca="true">IF(AND(G112&lt;&gt;"",H112="En cours"),TODAY()-G112,IF(AND(G112&lt;&gt;"",H112="Cloture"),TODAY()-G112,""))</f>
        <v/>
      </c>
      <c r="J112" s="35"/>
      <c r="K112" s="35"/>
      <c r="L112" s="35"/>
      <c r="M112" s="38"/>
      <c r="N112" s="37"/>
      <c r="O112" s="33" t="str">
        <f aca="false">IF(G112&lt;&gt;"",TEXT(G112,"MMMM YYYY"),"")</f>
        <v/>
      </c>
      <c r="P112" s="33" t="str">
        <f aca="false">IF(G112&lt;&gt;"",YEAR(G112),"")</f>
        <v/>
      </c>
    </row>
    <row r="113" customFormat="false" ht="21.75" hidden="false" customHeight="true" outlineLevel="0" collapsed="false">
      <c r="A113" s="27" t="str">
        <f aca="false">IF(B113&lt;&gt;"",ROW()-2,"")</f>
        <v/>
      </c>
      <c r="B113" s="28"/>
      <c r="C113" s="28"/>
      <c r="D113" s="28"/>
      <c r="E113" s="28"/>
      <c r="F113" s="28"/>
      <c r="G113" s="29"/>
      <c r="H113" s="30"/>
      <c r="I113" s="31" t="str">
        <f aca="true">IF(AND(G113&lt;&gt;"",H113="En cours"),TODAY()-G113,IF(AND(G113&lt;&gt;"",H113="Cloture"),TODAY()-G113,""))</f>
        <v/>
      </c>
      <c r="J113" s="28"/>
      <c r="K113" s="28"/>
      <c r="L113" s="28"/>
      <c r="M113" s="32"/>
      <c r="N113" s="30"/>
      <c r="O113" s="33" t="str">
        <f aca="false">IF(G113&lt;&gt;"",TEXT(G113,"MMMM YYYY"),"")</f>
        <v/>
      </c>
      <c r="P113" s="33" t="str">
        <f aca="false">IF(G113&lt;&gt;"",YEAR(G113),"")</f>
        <v/>
      </c>
    </row>
    <row r="114" customFormat="false" ht="21.75" hidden="false" customHeight="true" outlineLevel="0" collapsed="false">
      <c r="A114" s="34" t="str">
        <f aca="false">IF(B114&lt;&gt;"",ROW()-2,"")</f>
        <v/>
      </c>
      <c r="B114" s="35"/>
      <c r="C114" s="35"/>
      <c r="D114" s="35"/>
      <c r="E114" s="35"/>
      <c r="F114" s="35"/>
      <c r="G114" s="36"/>
      <c r="H114" s="37"/>
      <c r="I114" s="31" t="str">
        <f aca="true">IF(AND(G114&lt;&gt;"",H114="En cours"),TODAY()-G114,IF(AND(G114&lt;&gt;"",H114="Cloture"),TODAY()-G114,""))</f>
        <v/>
      </c>
      <c r="J114" s="35"/>
      <c r="K114" s="35"/>
      <c r="L114" s="35"/>
      <c r="M114" s="38"/>
      <c r="N114" s="37"/>
      <c r="O114" s="33" t="str">
        <f aca="false">IF(G114&lt;&gt;"",TEXT(G114,"MMMM YYYY"),"")</f>
        <v/>
      </c>
      <c r="P114" s="33" t="str">
        <f aca="false">IF(G114&lt;&gt;"",YEAR(G114),"")</f>
        <v/>
      </c>
    </row>
    <row r="115" customFormat="false" ht="21.75" hidden="false" customHeight="true" outlineLevel="0" collapsed="false">
      <c r="A115" s="27" t="str">
        <f aca="false">IF(B115&lt;&gt;"",ROW()-2,"")</f>
        <v/>
      </c>
      <c r="B115" s="28"/>
      <c r="C115" s="28"/>
      <c r="D115" s="28"/>
      <c r="E115" s="28"/>
      <c r="F115" s="28"/>
      <c r="G115" s="29"/>
      <c r="H115" s="30"/>
      <c r="I115" s="31" t="str">
        <f aca="true">IF(AND(G115&lt;&gt;"",H115="En cours"),TODAY()-G115,IF(AND(G115&lt;&gt;"",H115="Cloture"),TODAY()-G115,""))</f>
        <v/>
      </c>
      <c r="J115" s="28"/>
      <c r="K115" s="28"/>
      <c r="L115" s="28"/>
      <c r="M115" s="32"/>
      <c r="N115" s="30"/>
      <c r="O115" s="33" t="str">
        <f aca="false">IF(G115&lt;&gt;"",TEXT(G115,"MMMM YYYY"),"")</f>
        <v/>
      </c>
      <c r="P115" s="33" t="str">
        <f aca="false">IF(G115&lt;&gt;"",YEAR(G115),"")</f>
        <v/>
      </c>
    </row>
    <row r="116" customFormat="false" ht="21.75" hidden="false" customHeight="true" outlineLevel="0" collapsed="false">
      <c r="A116" s="34" t="str">
        <f aca="false">IF(B116&lt;&gt;"",ROW()-2,"")</f>
        <v/>
      </c>
      <c r="B116" s="35"/>
      <c r="C116" s="35"/>
      <c r="D116" s="35"/>
      <c r="E116" s="35"/>
      <c r="F116" s="35"/>
      <c r="G116" s="36"/>
      <c r="H116" s="37"/>
      <c r="I116" s="31" t="str">
        <f aca="true">IF(AND(G116&lt;&gt;"",H116="En cours"),TODAY()-G116,IF(AND(G116&lt;&gt;"",H116="Cloture"),TODAY()-G116,""))</f>
        <v/>
      </c>
      <c r="J116" s="35"/>
      <c r="K116" s="35"/>
      <c r="L116" s="35"/>
      <c r="M116" s="38"/>
      <c r="N116" s="37"/>
      <c r="O116" s="33" t="str">
        <f aca="false">IF(G116&lt;&gt;"",TEXT(G116,"MMMM YYYY"),"")</f>
        <v/>
      </c>
      <c r="P116" s="33" t="str">
        <f aca="false">IF(G116&lt;&gt;"",YEAR(G116),"")</f>
        <v/>
      </c>
    </row>
    <row r="117" customFormat="false" ht="21.75" hidden="false" customHeight="true" outlineLevel="0" collapsed="false">
      <c r="A117" s="27" t="str">
        <f aca="false">IF(B117&lt;&gt;"",ROW()-2,"")</f>
        <v/>
      </c>
      <c r="B117" s="28"/>
      <c r="C117" s="28"/>
      <c r="D117" s="28"/>
      <c r="E117" s="28"/>
      <c r="F117" s="28"/>
      <c r="G117" s="29"/>
      <c r="H117" s="30"/>
      <c r="I117" s="31" t="str">
        <f aca="true">IF(AND(G117&lt;&gt;"",H117="En cours"),TODAY()-G117,IF(AND(G117&lt;&gt;"",H117="Cloture"),TODAY()-G117,""))</f>
        <v/>
      </c>
      <c r="J117" s="28"/>
      <c r="K117" s="28"/>
      <c r="L117" s="28"/>
      <c r="M117" s="32"/>
      <c r="N117" s="30"/>
      <c r="O117" s="33" t="str">
        <f aca="false">IF(G117&lt;&gt;"",TEXT(G117,"MMMM YYYY"),"")</f>
        <v/>
      </c>
      <c r="P117" s="33" t="str">
        <f aca="false">IF(G117&lt;&gt;"",YEAR(G117),"")</f>
        <v/>
      </c>
    </row>
    <row r="118" customFormat="false" ht="21.75" hidden="false" customHeight="true" outlineLevel="0" collapsed="false">
      <c r="A118" s="34" t="str">
        <f aca="false">IF(B118&lt;&gt;"",ROW()-2,"")</f>
        <v/>
      </c>
      <c r="B118" s="35"/>
      <c r="C118" s="35"/>
      <c r="D118" s="35"/>
      <c r="E118" s="35"/>
      <c r="F118" s="35"/>
      <c r="G118" s="36"/>
      <c r="H118" s="37"/>
      <c r="I118" s="31" t="str">
        <f aca="true">IF(AND(G118&lt;&gt;"",H118="En cours"),TODAY()-G118,IF(AND(G118&lt;&gt;"",H118="Cloture"),TODAY()-G118,""))</f>
        <v/>
      </c>
      <c r="J118" s="35"/>
      <c r="K118" s="35"/>
      <c r="L118" s="35"/>
      <c r="M118" s="38"/>
      <c r="N118" s="37"/>
      <c r="O118" s="33" t="str">
        <f aca="false">IF(G118&lt;&gt;"",TEXT(G118,"MMMM YYYY"),"")</f>
        <v/>
      </c>
      <c r="P118" s="33" t="str">
        <f aca="false">IF(G118&lt;&gt;"",YEAR(G118),"")</f>
        <v/>
      </c>
    </row>
    <row r="119" customFormat="false" ht="21.75" hidden="false" customHeight="true" outlineLevel="0" collapsed="false">
      <c r="A119" s="27" t="str">
        <f aca="false">IF(B119&lt;&gt;"",ROW()-2,"")</f>
        <v/>
      </c>
      <c r="B119" s="28"/>
      <c r="C119" s="28"/>
      <c r="D119" s="28"/>
      <c r="E119" s="28"/>
      <c r="F119" s="28"/>
      <c r="G119" s="29"/>
      <c r="H119" s="30"/>
      <c r="I119" s="31" t="str">
        <f aca="true">IF(AND(G119&lt;&gt;"",H119="En cours"),TODAY()-G119,IF(AND(G119&lt;&gt;"",H119="Cloture"),TODAY()-G119,""))</f>
        <v/>
      </c>
      <c r="J119" s="28"/>
      <c r="K119" s="28"/>
      <c r="L119" s="28"/>
      <c r="M119" s="32"/>
      <c r="N119" s="30"/>
      <c r="O119" s="33" t="str">
        <f aca="false">IF(G119&lt;&gt;"",TEXT(G119,"MMMM YYYY"),"")</f>
        <v/>
      </c>
      <c r="P119" s="33" t="str">
        <f aca="false">IF(G119&lt;&gt;"",YEAR(G119),"")</f>
        <v/>
      </c>
    </row>
    <row r="120" customFormat="false" ht="21.75" hidden="false" customHeight="true" outlineLevel="0" collapsed="false">
      <c r="A120" s="34" t="str">
        <f aca="false">IF(B120&lt;&gt;"",ROW()-2,"")</f>
        <v/>
      </c>
      <c r="B120" s="35"/>
      <c r="C120" s="35"/>
      <c r="D120" s="35"/>
      <c r="E120" s="35"/>
      <c r="F120" s="35"/>
      <c r="G120" s="36"/>
      <c r="H120" s="37"/>
      <c r="I120" s="31" t="str">
        <f aca="true">IF(AND(G120&lt;&gt;"",H120="En cours"),TODAY()-G120,IF(AND(G120&lt;&gt;"",H120="Cloture"),TODAY()-G120,""))</f>
        <v/>
      </c>
      <c r="J120" s="35"/>
      <c r="K120" s="35"/>
      <c r="L120" s="35"/>
      <c r="M120" s="38"/>
      <c r="N120" s="37"/>
      <c r="O120" s="33" t="str">
        <f aca="false">IF(G120&lt;&gt;"",TEXT(G120,"MMMM YYYY"),"")</f>
        <v/>
      </c>
      <c r="P120" s="33" t="str">
        <f aca="false">IF(G120&lt;&gt;"",YEAR(G120),"")</f>
        <v/>
      </c>
    </row>
    <row r="121" customFormat="false" ht="21.75" hidden="false" customHeight="true" outlineLevel="0" collapsed="false">
      <c r="A121" s="27" t="str">
        <f aca="false">IF(B121&lt;&gt;"",ROW()-2,"")</f>
        <v/>
      </c>
      <c r="B121" s="28"/>
      <c r="C121" s="28"/>
      <c r="D121" s="28"/>
      <c r="E121" s="28"/>
      <c r="F121" s="28"/>
      <c r="G121" s="29"/>
      <c r="H121" s="30"/>
      <c r="I121" s="31" t="str">
        <f aca="true">IF(AND(G121&lt;&gt;"",H121="En cours"),TODAY()-G121,IF(AND(G121&lt;&gt;"",H121="Cloture"),TODAY()-G121,""))</f>
        <v/>
      </c>
      <c r="J121" s="28"/>
      <c r="K121" s="28"/>
      <c r="L121" s="28"/>
      <c r="M121" s="32"/>
      <c r="N121" s="30"/>
      <c r="O121" s="33" t="str">
        <f aca="false">IF(G121&lt;&gt;"",TEXT(G121,"MMMM YYYY"),"")</f>
        <v/>
      </c>
      <c r="P121" s="33" t="str">
        <f aca="false">IF(G121&lt;&gt;"",YEAR(G121),"")</f>
        <v/>
      </c>
    </row>
    <row r="122" customFormat="false" ht="21.75" hidden="false" customHeight="true" outlineLevel="0" collapsed="false">
      <c r="A122" s="34" t="str">
        <f aca="false">IF(B122&lt;&gt;"",ROW()-2,"")</f>
        <v/>
      </c>
      <c r="B122" s="35"/>
      <c r="C122" s="35"/>
      <c r="D122" s="35"/>
      <c r="E122" s="35"/>
      <c r="F122" s="35"/>
      <c r="G122" s="36"/>
      <c r="H122" s="37"/>
      <c r="I122" s="31" t="str">
        <f aca="true">IF(AND(G122&lt;&gt;"",H122="En cours"),TODAY()-G122,IF(AND(G122&lt;&gt;"",H122="Cloture"),TODAY()-G122,""))</f>
        <v/>
      </c>
      <c r="J122" s="35"/>
      <c r="K122" s="35"/>
      <c r="L122" s="35"/>
      <c r="M122" s="38"/>
      <c r="N122" s="37"/>
      <c r="O122" s="33" t="str">
        <f aca="false">IF(G122&lt;&gt;"",TEXT(G122,"MMMM YYYY"),"")</f>
        <v/>
      </c>
      <c r="P122" s="33" t="str">
        <f aca="false">IF(G122&lt;&gt;"",YEAR(G122),"")</f>
        <v/>
      </c>
    </row>
    <row r="123" customFormat="false" ht="21.75" hidden="false" customHeight="true" outlineLevel="0" collapsed="false">
      <c r="A123" s="27" t="str">
        <f aca="false">IF(B123&lt;&gt;"",ROW()-2,"")</f>
        <v/>
      </c>
      <c r="B123" s="28"/>
      <c r="C123" s="28"/>
      <c r="D123" s="28"/>
      <c r="E123" s="28"/>
      <c r="F123" s="28"/>
      <c r="G123" s="29"/>
      <c r="H123" s="30"/>
      <c r="I123" s="31" t="str">
        <f aca="true">IF(AND(G123&lt;&gt;"",H123="En cours"),TODAY()-G123,IF(AND(G123&lt;&gt;"",H123="Cloture"),TODAY()-G123,""))</f>
        <v/>
      </c>
      <c r="J123" s="28"/>
      <c r="K123" s="28"/>
      <c r="L123" s="28"/>
      <c r="M123" s="32"/>
      <c r="N123" s="30"/>
      <c r="O123" s="33" t="str">
        <f aca="false">IF(G123&lt;&gt;"",TEXT(G123,"MMMM YYYY"),"")</f>
        <v/>
      </c>
      <c r="P123" s="33" t="str">
        <f aca="false">IF(G123&lt;&gt;"",YEAR(G123),"")</f>
        <v/>
      </c>
    </row>
    <row r="124" customFormat="false" ht="21.75" hidden="false" customHeight="true" outlineLevel="0" collapsed="false">
      <c r="A124" s="34" t="str">
        <f aca="false">IF(B124&lt;&gt;"",ROW()-2,"")</f>
        <v/>
      </c>
      <c r="B124" s="35"/>
      <c r="C124" s="35"/>
      <c r="D124" s="35"/>
      <c r="E124" s="35"/>
      <c r="F124" s="35"/>
      <c r="G124" s="36"/>
      <c r="H124" s="37"/>
      <c r="I124" s="31" t="str">
        <f aca="true">IF(AND(G124&lt;&gt;"",H124="En cours"),TODAY()-G124,IF(AND(G124&lt;&gt;"",H124="Cloture"),TODAY()-G124,""))</f>
        <v/>
      </c>
      <c r="J124" s="35"/>
      <c r="K124" s="35"/>
      <c r="L124" s="35"/>
      <c r="M124" s="38"/>
      <c r="N124" s="37"/>
      <c r="O124" s="33" t="str">
        <f aca="false">IF(G124&lt;&gt;"",TEXT(G124,"MMMM YYYY"),"")</f>
        <v/>
      </c>
      <c r="P124" s="33" t="str">
        <f aca="false">IF(G124&lt;&gt;"",YEAR(G124),"")</f>
        <v/>
      </c>
    </row>
    <row r="125" customFormat="false" ht="21.75" hidden="false" customHeight="true" outlineLevel="0" collapsed="false">
      <c r="A125" s="27" t="str">
        <f aca="false">IF(B125&lt;&gt;"",ROW()-2,"")</f>
        <v/>
      </c>
      <c r="B125" s="28"/>
      <c r="C125" s="28"/>
      <c r="D125" s="28"/>
      <c r="E125" s="28"/>
      <c r="F125" s="28"/>
      <c r="G125" s="29"/>
      <c r="H125" s="30"/>
      <c r="I125" s="31" t="str">
        <f aca="true">IF(AND(G125&lt;&gt;"",H125="En cours"),TODAY()-G125,IF(AND(G125&lt;&gt;"",H125="Cloture"),TODAY()-G125,""))</f>
        <v/>
      </c>
      <c r="J125" s="28"/>
      <c r="K125" s="28"/>
      <c r="L125" s="28"/>
      <c r="M125" s="32"/>
      <c r="N125" s="30"/>
      <c r="O125" s="33" t="str">
        <f aca="false">IF(G125&lt;&gt;"",TEXT(G125,"MMMM YYYY"),"")</f>
        <v/>
      </c>
      <c r="P125" s="33" t="str">
        <f aca="false">IF(G125&lt;&gt;"",YEAR(G125),"")</f>
        <v/>
      </c>
    </row>
    <row r="126" customFormat="false" ht="21.75" hidden="false" customHeight="true" outlineLevel="0" collapsed="false">
      <c r="A126" s="34" t="str">
        <f aca="false">IF(B126&lt;&gt;"",ROW()-2,"")</f>
        <v/>
      </c>
      <c r="B126" s="35"/>
      <c r="C126" s="35"/>
      <c r="D126" s="35"/>
      <c r="E126" s="35"/>
      <c r="F126" s="35"/>
      <c r="G126" s="36"/>
      <c r="H126" s="37"/>
      <c r="I126" s="31" t="str">
        <f aca="true">IF(AND(G126&lt;&gt;"",H126="En cours"),TODAY()-G126,IF(AND(G126&lt;&gt;"",H126="Cloture"),TODAY()-G126,""))</f>
        <v/>
      </c>
      <c r="J126" s="35"/>
      <c r="K126" s="35"/>
      <c r="L126" s="35"/>
      <c r="M126" s="38"/>
      <c r="N126" s="37"/>
      <c r="O126" s="33" t="str">
        <f aca="false">IF(G126&lt;&gt;"",TEXT(G126,"MMMM YYYY"),"")</f>
        <v/>
      </c>
      <c r="P126" s="33" t="str">
        <f aca="false">IF(G126&lt;&gt;"",YEAR(G126),"")</f>
        <v/>
      </c>
    </row>
    <row r="127" customFormat="false" ht="21.75" hidden="false" customHeight="true" outlineLevel="0" collapsed="false">
      <c r="A127" s="27" t="str">
        <f aca="false">IF(B127&lt;&gt;"",ROW()-2,"")</f>
        <v/>
      </c>
      <c r="B127" s="28"/>
      <c r="C127" s="28"/>
      <c r="D127" s="28"/>
      <c r="E127" s="28"/>
      <c r="F127" s="28"/>
      <c r="G127" s="29"/>
      <c r="H127" s="30"/>
      <c r="I127" s="31" t="str">
        <f aca="true">IF(AND(G127&lt;&gt;"",H127="En cours"),TODAY()-G127,IF(AND(G127&lt;&gt;"",H127="Cloture"),TODAY()-G127,""))</f>
        <v/>
      </c>
      <c r="J127" s="28"/>
      <c r="K127" s="28"/>
      <c r="L127" s="28"/>
      <c r="M127" s="32"/>
      <c r="N127" s="30"/>
      <c r="O127" s="33" t="str">
        <f aca="false">IF(G127&lt;&gt;"",TEXT(G127,"MMMM YYYY"),"")</f>
        <v/>
      </c>
      <c r="P127" s="33" t="str">
        <f aca="false">IF(G127&lt;&gt;"",YEAR(G127),"")</f>
        <v/>
      </c>
    </row>
    <row r="128" customFormat="false" ht="21.75" hidden="false" customHeight="true" outlineLevel="0" collapsed="false">
      <c r="A128" s="34" t="str">
        <f aca="false">IF(B128&lt;&gt;"",ROW()-2,"")</f>
        <v/>
      </c>
      <c r="B128" s="35"/>
      <c r="C128" s="35"/>
      <c r="D128" s="35"/>
      <c r="E128" s="35"/>
      <c r="F128" s="35"/>
      <c r="G128" s="36"/>
      <c r="H128" s="37"/>
      <c r="I128" s="31" t="str">
        <f aca="true">IF(AND(G128&lt;&gt;"",H128="En cours"),TODAY()-G128,IF(AND(G128&lt;&gt;"",H128="Cloture"),TODAY()-G128,""))</f>
        <v/>
      </c>
      <c r="J128" s="35"/>
      <c r="K128" s="35"/>
      <c r="L128" s="35"/>
      <c r="M128" s="38"/>
      <c r="N128" s="37"/>
      <c r="O128" s="33" t="str">
        <f aca="false">IF(G128&lt;&gt;"",TEXT(G128,"MMMM YYYY"),"")</f>
        <v/>
      </c>
      <c r="P128" s="33" t="str">
        <f aca="false">IF(G128&lt;&gt;"",YEAR(G128),"")</f>
        <v/>
      </c>
    </row>
    <row r="129" customFormat="false" ht="21.75" hidden="false" customHeight="true" outlineLevel="0" collapsed="false">
      <c r="A129" s="27" t="str">
        <f aca="false">IF(B129&lt;&gt;"",ROW()-2,"")</f>
        <v/>
      </c>
      <c r="B129" s="28"/>
      <c r="C129" s="28"/>
      <c r="D129" s="28"/>
      <c r="E129" s="28"/>
      <c r="F129" s="28"/>
      <c r="G129" s="29"/>
      <c r="H129" s="30"/>
      <c r="I129" s="31" t="str">
        <f aca="true">IF(AND(G129&lt;&gt;"",H129="En cours"),TODAY()-G129,IF(AND(G129&lt;&gt;"",H129="Cloture"),TODAY()-G129,""))</f>
        <v/>
      </c>
      <c r="J129" s="28"/>
      <c r="K129" s="28"/>
      <c r="L129" s="28"/>
      <c r="M129" s="32"/>
      <c r="N129" s="30"/>
      <c r="O129" s="33" t="str">
        <f aca="false">IF(G129&lt;&gt;"",TEXT(G129,"MMMM YYYY"),"")</f>
        <v/>
      </c>
      <c r="P129" s="33" t="str">
        <f aca="false">IF(G129&lt;&gt;"",YEAR(G129),"")</f>
        <v/>
      </c>
    </row>
    <row r="130" customFormat="false" ht="21.75" hidden="false" customHeight="true" outlineLevel="0" collapsed="false">
      <c r="A130" s="34" t="str">
        <f aca="false">IF(B130&lt;&gt;"",ROW()-2,"")</f>
        <v/>
      </c>
      <c r="B130" s="35"/>
      <c r="C130" s="35"/>
      <c r="D130" s="35"/>
      <c r="E130" s="35"/>
      <c r="F130" s="35"/>
      <c r="G130" s="36"/>
      <c r="H130" s="37"/>
      <c r="I130" s="31" t="str">
        <f aca="true">IF(AND(G130&lt;&gt;"",H130="En cours"),TODAY()-G130,IF(AND(G130&lt;&gt;"",H130="Cloture"),TODAY()-G130,""))</f>
        <v/>
      </c>
      <c r="J130" s="35"/>
      <c r="K130" s="35"/>
      <c r="L130" s="35"/>
      <c r="M130" s="38"/>
      <c r="N130" s="37"/>
      <c r="O130" s="33" t="str">
        <f aca="false">IF(G130&lt;&gt;"",TEXT(G130,"MMMM YYYY"),"")</f>
        <v/>
      </c>
      <c r="P130" s="33" t="str">
        <f aca="false">IF(G130&lt;&gt;"",YEAR(G130),"")</f>
        <v/>
      </c>
    </row>
    <row r="131" customFormat="false" ht="21.75" hidden="false" customHeight="true" outlineLevel="0" collapsed="false">
      <c r="A131" s="27" t="str">
        <f aca="false">IF(B131&lt;&gt;"",ROW()-2,"")</f>
        <v/>
      </c>
      <c r="B131" s="28"/>
      <c r="C131" s="28"/>
      <c r="D131" s="28"/>
      <c r="E131" s="28"/>
      <c r="F131" s="28"/>
      <c r="G131" s="29"/>
      <c r="H131" s="30"/>
      <c r="I131" s="31" t="str">
        <f aca="true">IF(AND(G131&lt;&gt;"",H131="En cours"),TODAY()-G131,IF(AND(G131&lt;&gt;"",H131="Cloture"),TODAY()-G131,""))</f>
        <v/>
      </c>
      <c r="J131" s="28"/>
      <c r="K131" s="28"/>
      <c r="L131" s="28"/>
      <c r="M131" s="32"/>
      <c r="N131" s="30"/>
      <c r="O131" s="33" t="str">
        <f aca="false">IF(G131&lt;&gt;"",TEXT(G131,"MMMM YYYY"),"")</f>
        <v/>
      </c>
      <c r="P131" s="33" t="str">
        <f aca="false">IF(G131&lt;&gt;"",YEAR(G131),"")</f>
        <v/>
      </c>
    </row>
    <row r="132" customFormat="false" ht="21.75" hidden="false" customHeight="true" outlineLevel="0" collapsed="false">
      <c r="A132" s="34" t="str">
        <f aca="false">IF(B132&lt;&gt;"",ROW()-2,"")</f>
        <v/>
      </c>
      <c r="B132" s="35"/>
      <c r="C132" s="35"/>
      <c r="D132" s="35"/>
      <c r="E132" s="35"/>
      <c r="F132" s="35"/>
      <c r="G132" s="36"/>
      <c r="H132" s="37"/>
      <c r="I132" s="31" t="str">
        <f aca="true">IF(AND(G132&lt;&gt;"",H132="En cours"),TODAY()-G132,IF(AND(G132&lt;&gt;"",H132="Cloture"),TODAY()-G132,""))</f>
        <v/>
      </c>
      <c r="J132" s="35"/>
      <c r="K132" s="35"/>
      <c r="L132" s="35"/>
      <c r="M132" s="38"/>
      <c r="N132" s="37"/>
      <c r="O132" s="33" t="str">
        <f aca="false">IF(G132&lt;&gt;"",TEXT(G132,"MMMM YYYY"),"")</f>
        <v/>
      </c>
      <c r="P132" s="33" t="str">
        <f aca="false">IF(G132&lt;&gt;"",YEAR(G132),"")</f>
        <v/>
      </c>
    </row>
    <row r="133" customFormat="false" ht="21.75" hidden="false" customHeight="true" outlineLevel="0" collapsed="false">
      <c r="A133" s="27" t="str">
        <f aca="false">IF(B133&lt;&gt;"",ROW()-2,"")</f>
        <v/>
      </c>
      <c r="B133" s="28"/>
      <c r="C133" s="28"/>
      <c r="D133" s="28"/>
      <c r="E133" s="28"/>
      <c r="F133" s="28"/>
      <c r="G133" s="29"/>
      <c r="H133" s="30"/>
      <c r="I133" s="31" t="str">
        <f aca="true">IF(AND(G133&lt;&gt;"",H133="En cours"),TODAY()-G133,IF(AND(G133&lt;&gt;"",H133="Cloture"),TODAY()-G133,""))</f>
        <v/>
      </c>
      <c r="J133" s="28"/>
      <c r="K133" s="28"/>
      <c r="L133" s="28"/>
      <c r="M133" s="32"/>
      <c r="N133" s="30"/>
      <c r="O133" s="33" t="str">
        <f aca="false">IF(G133&lt;&gt;"",TEXT(G133,"MMMM YYYY"),"")</f>
        <v/>
      </c>
      <c r="P133" s="33" t="str">
        <f aca="false">IF(G133&lt;&gt;"",YEAR(G133),"")</f>
        <v/>
      </c>
    </row>
    <row r="134" customFormat="false" ht="21.75" hidden="false" customHeight="true" outlineLevel="0" collapsed="false">
      <c r="A134" s="34" t="str">
        <f aca="false">IF(B134&lt;&gt;"",ROW()-2,"")</f>
        <v/>
      </c>
      <c r="B134" s="35"/>
      <c r="C134" s="35"/>
      <c r="D134" s="35"/>
      <c r="E134" s="35"/>
      <c r="F134" s="35"/>
      <c r="G134" s="36"/>
      <c r="H134" s="37"/>
      <c r="I134" s="31" t="str">
        <f aca="true">IF(AND(G134&lt;&gt;"",H134="En cours"),TODAY()-G134,IF(AND(G134&lt;&gt;"",H134="Cloture"),TODAY()-G134,""))</f>
        <v/>
      </c>
      <c r="J134" s="35"/>
      <c r="K134" s="35"/>
      <c r="L134" s="35"/>
      <c r="M134" s="38"/>
      <c r="N134" s="37"/>
      <c r="O134" s="33" t="str">
        <f aca="false">IF(G134&lt;&gt;"",TEXT(G134,"MMMM YYYY"),"")</f>
        <v/>
      </c>
      <c r="P134" s="33" t="str">
        <f aca="false">IF(G134&lt;&gt;"",YEAR(G134),"")</f>
        <v/>
      </c>
    </row>
    <row r="135" customFormat="false" ht="21.75" hidden="false" customHeight="true" outlineLevel="0" collapsed="false">
      <c r="A135" s="27" t="str">
        <f aca="false">IF(B135&lt;&gt;"",ROW()-2,"")</f>
        <v/>
      </c>
      <c r="B135" s="28"/>
      <c r="C135" s="28"/>
      <c r="D135" s="28"/>
      <c r="E135" s="28"/>
      <c r="F135" s="28"/>
      <c r="G135" s="29"/>
      <c r="H135" s="30"/>
      <c r="I135" s="31" t="str">
        <f aca="true">IF(AND(G135&lt;&gt;"",H135="En cours"),TODAY()-G135,IF(AND(G135&lt;&gt;"",H135="Cloture"),TODAY()-G135,""))</f>
        <v/>
      </c>
      <c r="J135" s="28"/>
      <c r="K135" s="28"/>
      <c r="L135" s="28"/>
      <c r="M135" s="32"/>
      <c r="N135" s="30"/>
      <c r="O135" s="33" t="str">
        <f aca="false">IF(G135&lt;&gt;"",TEXT(G135,"MMMM YYYY"),"")</f>
        <v/>
      </c>
      <c r="P135" s="33" t="str">
        <f aca="false">IF(G135&lt;&gt;"",YEAR(G135),"")</f>
        <v/>
      </c>
    </row>
    <row r="136" customFormat="false" ht="21.75" hidden="false" customHeight="true" outlineLevel="0" collapsed="false">
      <c r="A136" s="34" t="str">
        <f aca="false">IF(B136&lt;&gt;"",ROW()-2,"")</f>
        <v/>
      </c>
      <c r="B136" s="35"/>
      <c r="C136" s="35"/>
      <c r="D136" s="35"/>
      <c r="E136" s="35"/>
      <c r="F136" s="35"/>
      <c r="G136" s="36"/>
      <c r="H136" s="37"/>
      <c r="I136" s="31" t="str">
        <f aca="true">IF(AND(G136&lt;&gt;"",H136="En cours"),TODAY()-G136,IF(AND(G136&lt;&gt;"",H136="Cloture"),TODAY()-G136,""))</f>
        <v/>
      </c>
      <c r="J136" s="35"/>
      <c r="K136" s="35"/>
      <c r="L136" s="35"/>
      <c r="M136" s="38"/>
      <c r="N136" s="37"/>
      <c r="O136" s="33" t="str">
        <f aca="false">IF(G136&lt;&gt;"",TEXT(G136,"MMMM YYYY"),"")</f>
        <v/>
      </c>
      <c r="P136" s="33" t="str">
        <f aca="false">IF(G136&lt;&gt;"",YEAR(G136),"")</f>
        <v/>
      </c>
    </row>
    <row r="137" customFormat="false" ht="21.75" hidden="false" customHeight="true" outlineLevel="0" collapsed="false">
      <c r="A137" s="27" t="str">
        <f aca="false">IF(B137&lt;&gt;"",ROW()-2,"")</f>
        <v/>
      </c>
      <c r="B137" s="28"/>
      <c r="C137" s="28"/>
      <c r="D137" s="28"/>
      <c r="E137" s="28"/>
      <c r="F137" s="28"/>
      <c r="G137" s="29"/>
      <c r="H137" s="30"/>
      <c r="I137" s="31" t="str">
        <f aca="true">IF(AND(G137&lt;&gt;"",H137="En cours"),TODAY()-G137,IF(AND(G137&lt;&gt;"",H137="Cloture"),TODAY()-G137,""))</f>
        <v/>
      </c>
      <c r="J137" s="28"/>
      <c r="K137" s="28"/>
      <c r="L137" s="28"/>
      <c r="M137" s="32"/>
      <c r="N137" s="30"/>
      <c r="O137" s="33" t="str">
        <f aca="false">IF(G137&lt;&gt;"",TEXT(G137,"MMMM YYYY"),"")</f>
        <v/>
      </c>
      <c r="P137" s="33" t="str">
        <f aca="false">IF(G137&lt;&gt;"",YEAR(G137),"")</f>
        <v/>
      </c>
    </row>
    <row r="138" customFormat="false" ht="21.75" hidden="false" customHeight="true" outlineLevel="0" collapsed="false">
      <c r="A138" s="34" t="str">
        <f aca="false">IF(B138&lt;&gt;"",ROW()-2,"")</f>
        <v/>
      </c>
      <c r="B138" s="35"/>
      <c r="C138" s="35"/>
      <c r="D138" s="35"/>
      <c r="E138" s="35"/>
      <c r="F138" s="35"/>
      <c r="G138" s="36"/>
      <c r="H138" s="37"/>
      <c r="I138" s="31" t="str">
        <f aca="true">IF(AND(G138&lt;&gt;"",H138="En cours"),TODAY()-G138,IF(AND(G138&lt;&gt;"",H138="Cloture"),TODAY()-G138,""))</f>
        <v/>
      </c>
      <c r="J138" s="35"/>
      <c r="K138" s="35"/>
      <c r="L138" s="35"/>
      <c r="M138" s="38"/>
      <c r="N138" s="37"/>
      <c r="O138" s="33" t="str">
        <f aca="false">IF(G138&lt;&gt;"",TEXT(G138,"MMMM YYYY"),"")</f>
        <v/>
      </c>
      <c r="P138" s="33" t="str">
        <f aca="false">IF(G138&lt;&gt;"",YEAR(G138),"")</f>
        <v/>
      </c>
    </row>
    <row r="139" customFormat="false" ht="21.75" hidden="false" customHeight="true" outlineLevel="0" collapsed="false">
      <c r="A139" s="27" t="str">
        <f aca="false">IF(B139&lt;&gt;"",ROW()-2,"")</f>
        <v/>
      </c>
      <c r="B139" s="28"/>
      <c r="C139" s="28"/>
      <c r="D139" s="28"/>
      <c r="E139" s="28"/>
      <c r="F139" s="28"/>
      <c r="G139" s="29"/>
      <c r="H139" s="30"/>
      <c r="I139" s="31" t="str">
        <f aca="true">IF(AND(G139&lt;&gt;"",H139="En cours"),TODAY()-G139,IF(AND(G139&lt;&gt;"",H139="Cloture"),TODAY()-G139,""))</f>
        <v/>
      </c>
      <c r="J139" s="28"/>
      <c r="K139" s="28"/>
      <c r="L139" s="28"/>
      <c r="M139" s="32"/>
      <c r="N139" s="30"/>
      <c r="O139" s="33" t="str">
        <f aca="false">IF(G139&lt;&gt;"",TEXT(G139,"MMMM YYYY"),"")</f>
        <v/>
      </c>
      <c r="P139" s="33" t="str">
        <f aca="false">IF(G139&lt;&gt;"",YEAR(G139),"")</f>
        <v/>
      </c>
    </row>
    <row r="140" customFormat="false" ht="21.75" hidden="false" customHeight="true" outlineLevel="0" collapsed="false">
      <c r="A140" s="34" t="str">
        <f aca="false">IF(B140&lt;&gt;"",ROW()-2,"")</f>
        <v/>
      </c>
      <c r="B140" s="35"/>
      <c r="C140" s="35"/>
      <c r="D140" s="35"/>
      <c r="E140" s="35"/>
      <c r="F140" s="35"/>
      <c r="G140" s="36"/>
      <c r="H140" s="37"/>
      <c r="I140" s="31" t="str">
        <f aca="true">IF(AND(G140&lt;&gt;"",H140="En cours"),TODAY()-G140,IF(AND(G140&lt;&gt;"",H140="Cloture"),TODAY()-G140,""))</f>
        <v/>
      </c>
      <c r="J140" s="35"/>
      <c r="K140" s="35"/>
      <c r="L140" s="35"/>
      <c r="M140" s="38"/>
      <c r="N140" s="37"/>
      <c r="O140" s="33" t="str">
        <f aca="false">IF(G140&lt;&gt;"",TEXT(G140,"MMMM YYYY"),"")</f>
        <v/>
      </c>
      <c r="P140" s="33" t="str">
        <f aca="false">IF(G140&lt;&gt;"",YEAR(G140),"")</f>
        <v/>
      </c>
    </row>
    <row r="141" customFormat="false" ht="21.75" hidden="false" customHeight="true" outlineLevel="0" collapsed="false">
      <c r="A141" s="27" t="str">
        <f aca="false">IF(B141&lt;&gt;"",ROW()-2,"")</f>
        <v/>
      </c>
      <c r="B141" s="28"/>
      <c r="C141" s="28"/>
      <c r="D141" s="28"/>
      <c r="E141" s="28"/>
      <c r="F141" s="28"/>
      <c r="G141" s="29"/>
      <c r="H141" s="30"/>
      <c r="I141" s="31" t="str">
        <f aca="true">IF(AND(G141&lt;&gt;"",H141="En cours"),TODAY()-G141,IF(AND(G141&lt;&gt;"",H141="Cloture"),TODAY()-G141,""))</f>
        <v/>
      </c>
      <c r="J141" s="28"/>
      <c r="K141" s="28"/>
      <c r="L141" s="28"/>
      <c r="M141" s="32"/>
      <c r="N141" s="30"/>
      <c r="O141" s="33" t="str">
        <f aca="false">IF(G141&lt;&gt;"",TEXT(G141,"MMMM YYYY"),"")</f>
        <v/>
      </c>
      <c r="P141" s="33" t="str">
        <f aca="false">IF(G141&lt;&gt;"",YEAR(G141),"")</f>
        <v/>
      </c>
    </row>
    <row r="142" customFormat="false" ht="21.75" hidden="false" customHeight="true" outlineLevel="0" collapsed="false">
      <c r="A142" s="34" t="str">
        <f aca="false">IF(B142&lt;&gt;"",ROW()-2,"")</f>
        <v/>
      </c>
      <c r="B142" s="35"/>
      <c r="C142" s="35"/>
      <c r="D142" s="35"/>
      <c r="E142" s="35"/>
      <c r="F142" s="35"/>
      <c r="G142" s="36"/>
      <c r="H142" s="37"/>
      <c r="I142" s="31" t="str">
        <f aca="true">IF(AND(G142&lt;&gt;"",H142="En cours"),TODAY()-G142,IF(AND(G142&lt;&gt;"",H142="Cloture"),TODAY()-G142,""))</f>
        <v/>
      </c>
      <c r="J142" s="35"/>
      <c r="K142" s="35"/>
      <c r="L142" s="35"/>
      <c r="M142" s="38"/>
      <c r="N142" s="37"/>
      <c r="O142" s="33" t="str">
        <f aca="false">IF(G142&lt;&gt;"",TEXT(G142,"MMMM YYYY"),"")</f>
        <v/>
      </c>
      <c r="P142" s="33" t="str">
        <f aca="false">IF(G142&lt;&gt;"",YEAR(G142),"")</f>
        <v/>
      </c>
    </row>
    <row r="143" customFormat="false" ht="21.75" hidden="false" customHeight="true" outlineLevel="0" collapsed="false">
      <c r="A143" s="27" t="str">
        <f aca="false">IF(B143&lt;&gt;"",ROW()-2,"")</f>
        <v/>
      </c>
      <c r="B143" s="28"/>
      <c r="C143" s="28"/>
      <c r="D143" s="28"/>
      <c r="E143" s="28"/>
      <c r="F143" s="28"/>
      <c r="G143" s="29"/>
      <c r="H143" s="30"/>
      <c r="I143" s="31" t="str">
        <f aca="true">IF(AND(G143&lt;&gt;"",H143="En cours"),TODAY()-G143,IF(AND(G143&lt;&gt;"",H143="Cloture"),TODAY()-G143,""))</f>
        <v/>
      </c>
      <c r="J143" s="28"/>
      <c r="K143" s="28"/>
      <c r="L143" s="28"/>
      <c r="M143" s="32"/>
      <c r="N143" s="30"/>
      <c r="O143" s="33" t="str">
        <f aca="false">IF(G143&lt;&gt;"",TEXT(G143,"MMMM YYYY"),"")</f>
        <v/>
      </c>
      <c r="P143" s="33" t="str">
        <f aca="false">IF(G143&lt;&gt;"",YEAR(G143),"")</f>
        <v/>
      </c>
    </row>
    <row r="144" customFormat="false" ht="21.75" hidden="false" customHeight="true" outlineLevel="0" collapsed="false">
      <c r="A144" s="34" t="str">
        <f aca="false">IF(B144&lt;&gt;"",ROW()-2,"")</f>
        <v/>
      </c>
      <c r="B144" s="35"/>
      <c r="C144" s="35"/>
      <c r="D144" s="35"/>
      <c r="E144" s="35"/>
      <c r="F144" s="35"/>
      <c r="G144" s="36"/>
      <c r="H144" s="37"/>
      <c r="I144" s="31" t="str">
        <f aca="true">IF(AND(G144&lt;&gt;"",H144="En cours"),TODAY()-G144,IF(AND(G144&lt;&gt;"",H144="Cloture"),TODAY()-G144,""))</f>
        <v/>
      </c>
      <c r="J144" s="35"/>
      <c r="K144" s="35"/>
      <c r="L144" s="35"/>
      <c r="M144" s="38"/>
      <c r="N144" s="37"/>
      <c r="O144" s="33" t="str">
        <f aca="false">IF(G144&lt;&gt;"",TEXT(G144,"MMMM YYYY"),"")</f>
        <v/>
      </c>
      <c r="P144" s="33" t="str">
        <f aca="false">IF(G144&lt;&gt;"",YEAR(G144),"")</f>
        <v/>
      </c>
    </row>
    <row r="145" customFormat="false" ht="21.75" hidden="false" customHeight="true" outlineLevel="0" collapsed="false">
      <c r="A145" s="27" t="str">
        <f aca="false">IF(B145&lt;&gt;"",ROW()-2,"")</f>
        <v/>
      </c>
      <c r="B145" s="28"/>
      <c r="C145" s="28"/>
      <c r="D145" s="28"/>
      <c r="E145" s="28"/>
      <c r="F145" s="28"/>
      <c r="G145" s="29"/>
      <c r="H145" s="30"/>
      <c r="I145" s="31" t="str">
        <f aca="true">IF(AND(G145&lt;&gt;"",H145="En cours"),TODAY()-G145,IF(AND(G145&lt;&gt;"",H145="Cloture"),TODAY()-G145,""))</f>
        <v/>
      </c>
      <c r="J145" s="28"/>
      <c r="K145" s="28"/>
      <c r="L145" s="28"/>
      <c r="M145" s="32"/>
      <c r="N145" s="30"/>
      <c r="O145" s="33" t="str">
        <f aca="false">IF(G145&lt;&gt;"",TEXT(G145,"MMMM YYYY"),"")</f>
        <v/>
      </c>
      <c r="P145" s="33" t="str">
        <f aca="false">IF(G145&lt;&gt;"",YEAR(G145),"")</f>
        <v/>
      </c>
    </row>
    <row r="146" customFormat="false" ht="21.75" hidden="false" customHeight="true" outlineLevel="0" collapsed="false">
      <c r="A146" s="34" t="str">
        <f aca="false">IF(B146&lt;&gt;"",ROW()-2,"")</f>
        <v/>
      </c>
      <c r="B146" s="35"/>
      <c r="C146" s="35"/>
      <c r="D146" s="35"/>
      <c r="E146" s="35"/>
      <c r="F146" s="35"/>
      <c r="G146" s="36"/>
      <c r="H146" s="37"/>
      <c r="I146" s="31" t="str">
        <f aca="true">IF(AND(G146&lt;&gt;"",H146="En cours"),TODAY()-G146,IF(AND(G146&lt;&gt;"",H146="Cloture"),TODAY()-G146,""))</f>
        <v/>
      </c>
      <c r="J146" s="35"/>
      <c r="K146" s="35"/>
      <c r="L146" s="35"/>
      <c r="M146" s="38"/>
      <c r="N146" s="37"/>
      <c r="O146" s="33" t="str">
        <f aca="false">IF(G146&lt;&gt;"",TEXT(G146,"MMMM YYYY"),"")</f>
        <v/>
      </c>
      <c r="P146" s="33" t="str">
        <f aca="false">IF(G146&lt;&gt;"",YEAR(G146),"")</f>
        <v/>
      </c>
    </row>
    <row r="147" customFormat="false" ht="21.75" hidden="false" customHeight="true" outlineLevel="0" collapsed="false">
      <c r="A147" s="27" t="str">
        <f aca="false">IF(B147&lt;&gt;"",ROW()-2,"")</f>
        <v/>
      </c>
      <c r="B147" s="28"/>
      <c r="C147" s="28"/>
      <c r="D147" s="28"/>
      <c r="E147" s="28"/>
      <c r="F147" s="28"/>
      <c r="G147" s="29"/>
      <c r="H147" s="30"/>
      <c r="I147" s="31" t="str">
        <f aca="true">IF(AND(G147&lt;&gt;"",H147="En cours"),TODAY()-G147,IF(AND(G147&lt;&gt;"",H147="Cloture"),TODAY()-G147,""))</f>
        <v/>
      </c>
      <c r="J147" s="28"/>
      <c r="K147" s="28"/>
      <c r="L147" s="28"/>
      <c r="M147" s="32"/>
      <c r="N147" s="30"/>
      <c r="O147" s="33" t="str">
        <f aca="false">IF(G147&lt;&gt;"",TEXT(G147,"MMMM YYYY"),"")</f>
        <v/>
      </c>
      <c r="P147" s="33" t="str">
        <f aca="false">IF(G147&lt;&gt;"",YEAR(G147),"")</f>
        <v/>
      </c>
    </row>
    <row r="148" customFormat="false" ht="21.75" hidden="false" customHeight="true" outlineLevel="0" collapsed="false">
      <c r="A148" s="34" t="str">
        <f aca="false">IF(B148&lt;&gt;"",ROW()-2,"")</f>
        <v/>
      </c>
      <c r="B148" s="35"/>
      <c r="C148" s="35"/>
      <c r="D148" s="35"/>
      <c r="E148" s="35"/>
      <c r="F148" s="35"/>
      <c r="G148" s="36"/>
      <c r="H148" s="37"/>
      <c r="I148" s="31" t="str">
        <f aca="true">IF(AND(G148&lt;&gt;"",H148="En cours"),TODAY()-G148,IF(AND(G148&lt;&gt;"",H148="Cloture"),TODAY()-G148,""))</f>
        <v/>
      </c>
      <c r="J148" s="35"/>
      <c r="K148" s="35"/>
      <c r="L148" s="35"/>
      <c r="M148" s="38"/>
      <c r="N148" s="37"/>
      <c r="O148" s="33" t="str">
        <f aca="false">IF(G148&lt;&gt;"",TEXT(G148,"MMMM YYYY"),"")</f>
        <v/>
      </c>
      <c r="P148" s="33" t="str">
        <f aca="false">IF(G148&lt;&gt;"",YEAR(G148),"")</f>
        <v/>
      </c>
    </row>
    <row r="149" customFormat="false" ht="21.75" hidden="false" customHeight="true" outlineLevel="0" collapsed="false">
      <c r="A149" s="27" t="str">
        <f aca="false">IF(B149&lt;&gt;"",ROW()-2,"")</f>
        <v/>
      </c>
      <c r="B149" s="28"/>
      <c r="C149" s="28"/>
      <c r="D149" s="28"/>
      <c r="E149" s="28"/>
      <c r="F149" s="28"/>
      <c r="G149" s="29"/>
      <c r="H149" s="30"/>
      <c r="I149" s="31" t="str">
        <f aca="true">IF(AND(G149&lt;&gt;"",H149="En cours"),TODAY()-G149,IF(AND(G149&lt;&gt;"",H149="Cloture"),TODAY()-G149,""))</f>
        <v/>
      </c>
      <c r="J149" s="28"/>
      <c r="K149" s="28"/>
      <c r="L149" s="28"/>
      <c r="M149" s="32"/>
      <c r="N149" s="30"/>
      <c r="O149" s="33" t="str">
        <f aca="false">IF(G149&lt;&gt;"",TEXT(G149,"MMMM YYYY"),"")</f>
        <v/>
      </c>
      <c r="P149" s="33" t="str">
        <f aca="false">IF(G149&lt;&gt;"",YEAR(G149),"")</f>
        <v/>
      </c>
    </row>
    <row r="150" customFormat="false" ht="21.75" hidden="false" customHeight="true" outlineLevel="0" collapsed="false">
      <c r="A150" s="34" t="str">
        <f aca="false">IF(B150&lt;&gt;"",ROW()-2,"")</f>
        <v/>
      </c>
      <c r="B150" s="35"/>
      <c r="C150" s="35"/>
      <c r="D150" s="35"/>
      <c r="E150" s="35"/>
      <c r="F150" s="35"/>
      <c r="G150" s="36"/>
      <c r="H150" s="37"/>
      <c r="I150" s="31" t="str">
        <f aca="true">IF(AND(G150&lt;&gt;"",H150="En cours"),TODAY()-G150,IF(AND(G150&lt;&gt;"",H150="Cloture"),TODAY()-G150,""))</f>
        <v/>
      </c>
      <c r="J150" s="35"/>
      <c r="K150" s="35"/>
      <c r="L150" s="35"/>
      <c r="M150" s="38"/>
      <c r="N150" s="37"/>
      <c r="O150" s="33" t="str">
        <f aca="false">IF(G150&lt;&gt;"",TEXT(G150,"MMMM YYYY"),"")</f>
        <v/>
      </c>
      <c r="P150" s="33" t="str">
        <f aca="false">IF(G150&lt;&gt;"",YEAR(G150),"")</f>
        <v/>
      </c>
    </row>
    <row r="151" customFormat="false" ht="21.75" hidden="false" customHeight="true" outlineLevel="0" collapsed="false">
      <c r="A151" s="27" t="str">
        <f aca="false">IF(B151&lt;&gt;"",ROW()-2,"")</f>
        <v/>
      </c>
      <c r="B151" s="28"/>
      <c r="C151" s="28"/>
      <c r="D151" s="28"/>
      <c r="E151" s="28"/>
      <c r="F151" s="28"/>
      <c r="G151" s="29"/>
      <c r="H151" s="30"/>
      <c r="I151" s="31" t="str">
        <f aca="true">IF(AND(G151&lt;&gt;"",H151="En cours"),TODAY()-G151,IF(AND(G151&lt;&gt;"",H151="Cloture"),TODAY()-G151,""))</f>
        <v/>
      </c>
      <c r="J151" s="28"/>
      <c r="K151" s="28"/>
      <c r="L151" s="28"/>
      <c r="M151" s="32"/>
      <c r="N151" s="30"/>
      <c r="O151" s="33" t="str">
        <f aca="false">IF(G151&lt;&gt;"",TEXT(G151,"MMMM YYYY"),"")</f>
        <v/>
      </c>
      <c r="P151" s="33" t="str">
        <f aca="false">IF(G151&lt;&gt;"",YEAR(G151),"")</f>
        <v/>
      </c>
    </row>
    <row r="152" customFormat="false" ht="21.75" hidden="false" customHeight="true" outlineLevel="0" collapsed="false">
      <c r="A152" s="34" t="str">
        <f aca="false">IF(B152&lt;&gt;"",ROW()-2,"")</f>
        <v/>
      </c>
      <c r="B152" s="35"/>
      <c r="C152" s="35"/>
      <c r="D152" s="35"/>
      <c r="E152" s="35"/>
      <c r="F152" s="35"/>
      <c r="G152" s="36"/>
      <c r="H152" s="37"/>
      <c r="I152" s="31" t="str">
        <f aca="true">IF(AND(G152&lt;&gt;"",H152="En cours"),TODAY()-G152,IF(AND(G152&lt;&gt;"",H152="Cloture"),TODAY()-G152,""))</f>
        <v/>
      </c>
      <c r="J152" s="35"/>
      <c r="K152" s="35"/>
      <c r="L152" s="35"/>
      <c r="M152" s="38"/>
      <c r="N152" s="37"/>
      <c r="O152" s="33" t="str">
        <f aca="false">IF(G152&lt;&gt;"",TEXT(G152,"MMMM YYYY"),"")</f>
        <v/>
      </c>
      <c r="P152" s="33" t="str">
        <f aca="false">IF(G152&lt;&gt;"",YEAR(G152),"")</f>
        <v/>
      </c>
    </row>
    <row r="153" customFormat="false" ht="21.75" hidden="false" customHeight="true" outlineLevel="0" collapsed="false">
      <c r="A153" s="27" t="str">
        <f aca="false">IF(B153&lt;&gt;"",ROW()-2,"")</f>
        <v/>
      </c>
      <c r="B153" s="28"/>
      <c r="C153" s="28"/>
      <c r="D153" s="28"/>
      <c r="E153" s="28"/>
      <c r="F153" s="28"/>
      <c r="G153" s="29"/>
      <c r="H153" s="30"/>
      <c r="I153" s="31" t="str">
        <f aca="true">IF(AND(G153&lt;&gt;"",H153="En cours"),TODAY()-G153,IF(AND(G153&lt;&gt;"",H153="Cloture"),TODAY()-G153,""))</f>
        <v/>
      </c>
      <c r="J153" s="28"/>
      <c r="K153" s="28"/>
      <c r="L153" s="28"/>
      <c r="M153" s="32"/>
      <c r="N153" s="30"/>
      <c r="O153" s="33" t="str">
        <f aca="false">IF(G153&lt;&gt;"",TEXT(G153,"MMMM YYYY"),"")</f>
        <v/>
      </c>
      <c r="P153" s="33" t="str">
        <f aca="false">IF(G153&lt;&gt;"",YEAR(G153),"")</f>
        <v/>
      </c>
    </row>
    <row r="154" customFormat="false" ht="21.75" hidden="false" customHeight="true" outlineLevel="0" collapsed="false">
      <c r="A154" s="34" t="str">
        <f aca="false">IF(B154&lt;&gt;"",ROW()-2,"")</f>
        <v/>
      </c>
      <c r="B154" s="35"/>
      <c r="C154" s="35"/>
      <c r="D154" s="35"/>
      <c r="E154" s="35"/>
      <c r="F154" s="35"/>
      <c r="G154" s="36"/>
      <c r="H154" s="37"/>
      <c r="I154" s="31" t="str">
        <f aca="true">IF(AND(G154&lt;&gt;"",H154="En cours"),TODAY()-G154,IF(AND(G154&lt;&gt;"",H154="Cloture"),TODAY()-G154,""))</f>
        <v/>
      </c>
      <c r="J154" s="35"/>
      <c r="K154" s="35"/>
      <c r="L154" s="35"/>
      <c r="M154" s="38"/>
      <c r="N154" s="37"/>
      <c r="O154" s="33" t="str">
        <f aca="false">IF(G154&lt;&gt;"",TEXT(G154,"MMMM YYYY"),"")</f>
        <v/>
      </c>
      <c r="P154" s="33" t="str">
        <f aca="false">IF(G154&lt;&gt;"",YEAR(G154),"")</f>
        <v/>
      </c>
    </row>
    <row r="155" customFormat="false" ht="21.75" hidden="false" customHeight="true" outlineLevel="0" collapsed="false">
      <c r="A155" s="27" t="str">
        <f aca="false">IF(B155&lt;&gt;"",ROW()-2,"")</f>
        <v/>
      </c>
      <c r="B155" s="28"/>
      <c r="C155" s="28"/>
      <c r="D155" s="28"/>
      <c r="E155" s="28"/>
      <c r="F155" s="28"/>
      <c r="G155" s="29"/>
      <c r="H155" s="30"/>
      <c r="I155" s="31" t="str">
        <f aca="true">IF(AND(G155&lt;&gt;"",H155="En cours"),TODAY()-G155,IF(AND(G155&lt;&gt;"",H155="Cloture"),TODAY()-G155,""))</f>
        <v/>
      </c>
      <c r="J155" s="28"/>
      <c r="K155" s="28"/>
      <c r="L155" s="28"/>
      <c r="M155" s="32"/>
      <c r="N155" s="30"/>
      <c r="O155" s="33" t="str">
        <f aca="false">IF(G155&lt;&gt;"",TEXT(G155,"MMMM YYYY"),"")</f>
        <v/>
      </c>
      <c r="P155" s="33" t="str">
        <f aca="false">IF(G155&lt;&gt;"",YEAR(G155),"")</f>
        <v/>
      </c>
    </row>
    <row r="156" customFormat="false" ht="21.75" hidden="false" customHeight="true" outlineLevel="0" collapsed="false">
      <c r="A156" s="34" t="str">
        <f aca="false">IF(B156&lt;&gt;"",ROW()-2,"")</f>
        <v/>
      </c>
      <c r="B156" s="35"/>
      <c r="C156" s="35"/>
      <c r="D156" s="35"/>
      <c r="E156" s="35"/>
      <c r="F156" s="35"/>
      <c r="G156" s="36"/>
      <c r="H156" s="37"/>
      <c r="I156" s="31" t="str">
        <f aca="true">IF(AND(G156&lt;&gt;"",H156="En cours"),TODAY()-G156,IF(AND(G156&lt;&gt;"",H156="Cloture"),TODAY()-G156,""))</f>
        <v/>
      </c>
      <c r="J156" s="35"/>
      <c r="K156" s="35"/>
      <c r="L156" s="35"/>
      <c r="M156" s="38"/>
      <c r="N156" s="37"/>
      <c r="O156" s="33" t="str">
        <f aca="false">IF(G156&lt;&gt;"",TEXT(G156,"MMMM YYYY"),"")</f>
        <v/>
      </c>
      <c r="P156" s="33" t="str">
        <f aca="false">IF(G156&lt;&gt;"",YEAR(G156),"")</f>
        <v/>
      </c>
    </row>
    <row r="157" customFormat="false" ht="21.75" hidden="false" customHeight="true" outlineLevel="0" collapsed="false">
      <c r="A157" s="27" t="str">
        <f aca="false">IF(B157&lt;&gt;"",ROW()-2,"")</f>
        <v/>
      </c>
      <c r="B157" s="28"/>
      <c r="C157" s="28"/>
      <c r="D157" s="28"/>
      <c r="E157" s="28"/>
      <c r="F157" s="28"/>
      <c r="G157" s="29"/>
      <c r="H157" s="30"/>
      <c r="I157" s="31" t="str">
        <f aca="true">IF(AND(G157&lt;&gt;"",H157="En cours"),TODAY()-G157,IF(AND(G157&lt;&gt;"",H157="Cloture"),TODAY()-G157,""))</f>
        <v/>
      </c>
      <c r="J157" s="28"/>
      <c r="K157" s="28"/>
      <c r="L157" s="28"/>
      <c r="M157" s="32"/>
      <c r="N157" s="30"/>
      <c r="O157" s="33" t="str">
        <f aca="false">IF(G157&lt;&gt;"",TEXT(G157,"MMMM YYYY"),"")</f>
        <v/>
      </c>
      <c r="P157" s="33" t="str">
        <f aca="false">IF(G157&lt;&gt;"",YEAR(G157),"")</f>
        <v/>
      </c>
    </row>
    <row r="158" customFormat="false" ht="21.75" hidden="false" customHeight="true" outlineLevel="0" collapsed="false">
      <c r="A158" s="34" t="str">
        <f aca="false">IF(B158&lt;&gt;"",ROW()-2,"")</f>
        <v/>
      </c>
      <c r="B158" s="35"/>
      <c r="C158" s="35"/>
      <c r="D158" s="35"/>
      <c r="E158" s="35"/>
      <c r="F158" s="35"/>
      <c r="G158" s="36"/>
      <c r="H158" s="37"/>
      <c r="I158" s="31" t="str">
        <f aca="true">IF(AND(G158&lt;&gt;"",H158="En cours"),TODAY()-G158,IF(AND(G158&lt;&gt;"",H158="Cloture"),TODAY()-G158,""))</f>
        <v/>
      </c>
      <c r="J158" s="35"/>
      <c r="K158" s="35"/>
      <c r="L158" s="35"/>
      <c r="M158" s="38"/>
      <c r="N158" s="37"/>
      <c r="O158" s="33" t="str">
        <f aca="false">IF(G158&lt;&gt;"",TEXT(G158,"MMMM YYYY"),"")</f>
        <v/>
      </c>
      <c r="P158" s="33" t="str">
        <f aca="false">IF(G158&lt;&gt;"",YEAR(G158),"")</f>
        <v/>
      </c>
    </row>
    <row r="159" customFormat="false" ht="21.75" hidden="false" customHeight="true" outlineLevel="0" collapsed="false">
      <c r="A159" s="27" t="str">
        <f aca="false">IF(B159&lt;&gt;"",ROW()-2,"")</f>
        <v/>
      </c>
      <c r="B159" s="28"/>
      <c r="C159" s="28"/>
      <c r="D159" s="28"/>
      <c r="E159" s="28"/>
      <c r="F159" s="28"/>
      <c r="G159" s="29"/>
      <c r="H159" s="30"/>
      <c r="I159" s="31" t="str">
        <f aca="true">IF(AND(G159&lt;&gt;"",H159="En cours"),TODAY()-G159,IF(AND(G159&lt;&gt;"",H159="Cloture"),TODAY()-G159,""))</f>
        <v/>
      </c>
      <c r="J159" s="28"/>
      <c r="K159" s="28"/>
      <c r="L159" s="28"/>
      <c r="M159" s="32"/>
      <c r="N159" s="30"/>
      <c r="O159" s="33" t="str">
        <f aca="false">IF(G159&lt;&gt;"",TEXT(G159,"MMMM YYYY"),"")</f>
        <v/>
      </c>
      <c r="P159" s="33" t="str">
        <f aca="false">IF(G159&lt;&gt;"",YEAR(G159),"")</f>
        <v/>
      </c>
    </row>
    <row r="160" customFormat="false" ht="21.75" hidden="false" customHeight="true" outlineLevel="0" collapsed="false">
      <c r="A160" s="34" t="str">
        <f aca="false">IF(B160&lt;&gt;"",ROW()-2,"")</f>
        <v/>
      </c>
      <c r="B160" s="35"/>
      <c r="C160" s="35"/>
      <c r="D160" s="35"/>
      <c r="E160" s="35"/>
      <c r="F160" s="35"/>
      <c r="G160" s="36"/>
      <c r="H160" s="37"/>
      <c r="I160" s="31" t="str">
        <f aca="true">IF(AND(G160&lt;&gt;"",H160="En cours"),TODAY()-G160,IF(AND(G160&lt;&gt;"",H160="Cloture"),TODAY()-G160,""))</f>
        <v/>
      </c>
      <c r="J160" s="35"/>
      <c r="K160" s="35"/>
      <c r="L160" s="35"/>
      <c r="M160" s="38"/>
      <c r="N160" s="37"/>
      <c r="O160" s="33" t="str">
        <f aca="false">IF(G160&lt;&gt;"",TEXT(G160,"MMMM YYYY"),"")</f>
        <v/>
      </c>
      <c r="P160" s="33" t="str">
        <f aca="false">IF(G160&lt;&gt;"",YEAR(G160),"")</f>
        <v/>
      </c>
    </row>
    <row r="161" customFormat="false" ht="21.75" hidden="false" customHeight="true" outlineLevel="0" collapsed="false">
      <c r="A161" s="27" t="str">
        <f aca="false">IF(B161&lt;&gt;"",ROW()-2,"")</f>
        <v/>
      </c>
      <c r="B161" s="28"/>
      <c r="C161" s="28"/>
      <c r="D161" s="28"/>
      <c r="E161" s="28"/>
      <c r="F161" s="28"/>
      <c r="G161" s="29"/>
      <c r="H161" s="30"/>
      <c r="I161" s="31" t="str">
        <f aca="true">IF(AND(G161&lt;&gt;"",H161="En cours"),TODAY()-G161,IF(AND(G161&lt;&gt;"",H161="Cloture"),TODAY()-G161,""))</f>
        <v/>
      </c>
      <c r="J161" s="28"/>
      <c r="K161" s="28"/>
      <c r="L161" s="28"/>
      <c r="M161" s="32"/>
      <c r="N161" s="30"/>
      <c r="O161" s="33" t="str">
        <f aca="false">IF(G161&lt;&gt;"",TEXT(G161,"MMMM YYYY"),"")</f>
        <v/>
      </c>
      <c r="P161" s="33" t="str">
        <f aca="false">IF(G161&lt;&gt;"",YEAR(G161),"")</f>
        <v/>
      </c>
    </row>
    <row r="162" customFormat="false" ht="21.75" hidden="false" customHeight="true" outlineLevel="0" collapsed="false">
      <c r="A162" s="34" t="str">
        <f aca="false">IF(B162&lt;&gt;"",ROW()-2,"")</f>
        <v/>
      </c>
      <c r="B162" s="35"/>
      <c r="C162" s="35"/>
      <c r="D162" s="35"/>
      <c r="E162" s="35"/>
      <c r="F162" s="35"/>
      <c r="G162" s="36"/>
      <c r="H162" s="37"/>
      <c r="I162" s="31" t="str">
        <f aca="true">IF(AND(G162&lt;&gt;"",H162="En cours"),TODAY()-G162,IF(AND(G162&lt;&gt;"",H162="Cloture"),TODAY()-G162,""))</f>
        <v/>
      </c>
      <c r="J162" s="35"/>
      <c r="K162" s="35"/>
      <c r="L162" s="35"/>
      <c r="M162" s="38"/>
      <c r="N162" s="37"/>
      <c r="O162" s="33" t="str">
        <f aca="false">IF(G162&lt;&gt;"",TEXT(G162,"MMMM YYYY"),"")</f>
        <v/>
      </c>
      <c r="P162" s="33" t="str">
        <f aca="false">IF(G162&lt;&gt;"",YEAR(G162),"")</f>
        <v/>
      </c>
    </row>
    <row r="163" customFormat="false" ht="21.75" hidden="false" customHeight="true" outlineLevel="0" collapsed="false">
      <c r="A163" s="27" t="str">
        <f aca="false">IF(B163&lt;&gt;"",ROW()-2,"")</f>
        <v/>
      </c>
      <c r="B163" s="28"/>
      <c r="C163" s="28"/>
      <c r="D163" s="28"/>
      <c r="E163" s="28"/>
      <c r="F163" s="28"/>
      <c r="G163" s="29"/>
      <c r="H163" s="30"/>
      <c r="I163" s="31" t="str">
        <f aca="true">IF(AND(G163&lt;&gt;"",H163="En cours"),TODAY()-G163,IF(AND(G163&lt;&gt;"",H163="Cloture"),TODAY()-G163,""))</f>
        <v/>
      </c>
      <c r="J163" s="28"/>
      <c r="K163" s="28"/>
      <c r="L163" s="28"/>
      <c r="M163" s="32"/>
      <c r="N163" s="30"/>
      <c r="O163" s="33" t="str">
        <f aca="false">IF(G163&lt;&gt;"",TEXT(G163,"MMMM YYYY"),"")</f>
        <v/>
      </c>
      <c r="P163" s="33" t="str">
        <f aca="false">IF(G163&lt;&gt;"",YEAR(G163),"")</f>
        <v/>
      </c>
    </row>
    <row r="164" customFormat="false" ht="21.75" hidden="false" customHeight="true" outlineLevel="0" collapsed="false">
      <c r="A164" s="34" t="str">
        <f aca="false">IF(B164&lt;&gt;"",ROW()-2,"")</f>
        <v/>
      </c>
      <c r="B164" s="35"/>
      <c r="C164" s="35"/>
      <c r="D164" s="35"/>
      <c r="E164" s="35"/>
      <c r="F164" s="35"/>
      <c r="G164" s="36"/>
      <c r="H164" s="37"/>
      <c r="I164" s="31" t="str">
        <f aca="true">IF(AND(G164&lt;&gt;"",H164="En cours"),TODAY()-G164,IF(AND(G164&lt;&gt;"",H164="Cloture"),TODAY()-G164,""))</f>
        <v/>
      </c>
      <c r="J164" s="35"/>
      <c r="K164" s="35"/>
      <c r="L164" s="35"/>
      <c r="M164" s="38"/>
      <c r="N164" s="37"/>
      <c r="O164" s="33" t="str">
        <f aca="false">IF(G164&lt;&gt;"",TEXT(G164,"MMMM YYYY"),"")</f>
        <v/>
      </c>
      <c r="P164" s="33" t="str">
        <f aca="false">IF(G164&lt;&gt;"",YEAR(G164),"")</f>
        <v/>
      </c>
    </row>
    <row r="165" customFormat="false" ht="21.75" hidden="false" customHeight="true" outlineLevel="0" collapsed="false">
      <c r="A165" s="27" t="str">
        <f aca="false">IF(B165&lt;&gt;"",ROW()-2,"")</f>
        <v/>
      </c>
      <c r="B165" s="28"/>
      <c r="C165" s="28"/>
      <c r="D165" s="28"/>
      <c r="E165" s="28"/>
      <c r="F165" s="28"/>
      <c r="G165" s="29"/>
      <c r="H165" s="30"/>
      <c r="I165" s="31" t="str">
        <f aca="true">IF(AND(G165&lt;&gt;"",H165="En cours"),TODAY()-G165,IF(AND(G165&lt;&gt;"",H165="Cloture"),TODAY()-G165,""))</f>
        <v/>
      </c>
      <c r="J165" s="28"/>
      <c r="K165" s="28"/>
      <c r="L165" s="28"/>
      <c r="M165" s="32"/>
      <c r="N165" s="30"/>
      <c r="O165" s="33" t="str">
        <f aca="false">IF(G165&lt;&gt;"",TEXT(G165,"MMMM YYYY"),"")</f>
        <v/>
      </c>
      <c r="P165" s="33" t="str">
        <f aca="false">IF(G165&lt;&gt;"",YEAR(G165),"")</f>
        <v/>
      </c>
    </row>
    <row r="166" customFormat="false" ht="21.75" hidden="false" customHeight="true" outlineLevel="0" collapsed="false">
      <c r="A166" s="34" t="str">
        <f aca="false">IF(B166&lt;&gt;"",ROW()-2,"")</f>
        <v/>
      </c>
      <c r="B166" s="35"/>
      <c r="C166" s="35"/>
      <c r="D166" s="35"/>
      <c r="E166" s="35"/>
      <c r="F166" s="35"/>
      <c r="G166" s="36"/>
      <c r="H166" s="37"/>
      <c r="I166" s="31" t="str">
        <f aca="true">IF(AND(G166&lt;&gt;"",H166="En cours"),TODAY()-G166,IF(AND(G166&lt;&gt;"",H166="Cloture"),TODAY()-G166,""))</f>
        <v/>
      </c>
      <c r="J166" s="35"/>
      <c r="K166" s="35"/>
      <c r="L166" s="35"/>
      <c r="M166" s="38"/>
      <c r="N166" s="37"/>
      <c r="O166" s="33" t="str">
        <f aca="false">IF(G166&lt;&gt;"",TEXT(G166,"MMMM YYYY"),"")</f>
        <v/>
      </c>
      <c r="P166" s="33" t="str">
        <f aca="false">IF(G166&lt;&gt;"",YEAR(G166),"")</f>
        <v/>
      </c>
    </row>
    <row r="167" customFormat="false" ht="21.75" hidden="false" customHeight="true" outlineLevel="0" collapsed="false">
      <c r="A167" s="27" t="str">
        <f aca="false">IF(B167&lt;&gt;"",ROW()-2,"")</f>
        <v/>
      </c>
      <c r="B167" s="28"/>
      <c r="C167" s="28"/>
      <c r="D167" s="28"/>
      <c r="E167" s="28"/>
      <c r="F167" s="28"/>
      <c r="G167" s="29"/>
      <c r="H167" s="30"/>
      <c r="I167" s="31" t="str">
        <f aca="true">IF(AND(G167&lt;&gt;"",H167="En cours"),TODAY()-G167,IF(AND(G167&lt;&gt;"",H167="Cloture"),TODAY()-G167,""))</f>
        <v/>
      </c>
      <c r="J167" s="28"/>
      <c r="K167" s="28"/>
      <c r="L167" s="28"/>
      <c r="M167" s="32"/>
      <c r="N167" s="30"/>
      <c r="O167" s="33" t="str">
        <f aca="false">IF(G167&lt;&gt;"",TEXT(G167,"MMMM YYYY"),"")</f>
        <v/>
      </c>
      <c r="P167" s="33" t="str">
        <f aca="false">IF(G167&lt;&gt;"",YEAR(G167),"")</f>
        <v/>
      </c>
    </row>
    <row r="168" customFormat="false" ht="21.75" hidden="false" customHeight="true" outlineLevel="0" collapsed="false">
      <c r="A168" s="34" t="str">
        <f aca="false">IF(B168&lt;&gt;"",ROW()-2,"")</f>
        <v/>
      </c>
      <c r="B168" s="35"/>
      <c r="C168" s="35"/>
      <c r="D168" s="35"/>
      <c r="E168" s="35"/>
      <c r="F168" s="35"/>
      <c r="G168" s="36"/>
      <c r="H168" s="37"/>
      <c r="I168" s="31" t="str">
        <f aca="true">IF(AND(G168&lt;&gt;"",H168="En cours"),TODAY()-G168,IF(AND(G168&lt;&gt;"",H168="Cloture"),TODAY()-G168,""))</f>
        <v/>
      </c>
      <c r="J168" s="35"/>
      <c r="K168" s="35"/>
      <c r="L168" s="35"/>
      <c r="M168" s="38"/>
      <c r="N168" s="37"/>
      <c r="O168" s="33" t="str">
        <f aca="false">IF(G168&lt;&gt;"",TEXT(G168,"MMMM YYYY"),"")</f>
        <v/>
      </c>
      <c r="P168" s="33" t="str">
        <f aca="false">IF(G168&lt;&gt;"",YEAR(G168),"")</f>
        <v/>
      </c>
    </row>
    <row r="169" customFormat="false" ht="21.75" hidden="false" customHeight="true" outlineLevel="0" collapsed="false">
      <c r="A169" s="27" t="str">
        <f aca="false">IF(B169&lt;&gt;"",ROW()-2,"")</f>
        <v/>
      </c>
      <c r="B169" s="28"/>
      <c r="C169" s="28"/>
      <c r="D169" s="28"/>
      <c r="E169" s="28"/>
      <c r="F169" s="28"/>
      <c r="G169" s="29"/>
      <c r="H169" s="30"/>
      <c r="I169" s="31" t="str">
        <f aca="true">IF(AND(G169&lt;&gt;"",H169="En cours"),TODAY()-G169,IF(AND(G169&lt;&gt;"",H169="Cloture"),TODAY()-G169,""))</f>
        <v/>
      </c>
      <c r="J169" s="28"/>
      <c r="K169" s="28"/>
      <c r="L169" s="28"/>
      <c r="M169" s="32"/>
      <c r="N169" s="30"/>
      <c r="O169" s="33" t="str">
        <f aca="false">IF(G169&lt;&gt;"",TEXT(G169,"MMMM YYYY"),"")</f>
        <v/>
      </c>
      <c r="P169" s="33" t="str">
        <f aca="false">IF(G169&lt;&gt;"",YEAR(G169),"")</f>
        <v/>
      </c>
    </row>
    <row r="170" customFormat="false" ht="21.75" hidden="false" customHeight="true" outlineLevel="0" collapsed="false">
      <c r="A170" s="34" t="str">
        <f aca="false">IF(B170&lt;&gt;"",ROW()-2,"")</f>
        <v/>
      </c>
      <c r="B170" s="35"/>
      <c r="C170" s="35"/>
      <c r="D170" s="35"/>
      <c r="E170" s="35"/>
      <c r="F170" s="35"/>
      <c r="G170" s="36"/>
      <c r="H170" s="37"/>
      <c r="I170" s="31" t="str">
        <f aca="true">IF(AND(G170&lt;&gt;"",H170="En cours"),TODAY()-G170,IF(AND(G170&lt;&gt;"",H170="Cloture"),TODAY()-G170,""))</f>
        <v/>
      </c>
      <c r="J170" s="35"/>
      <c r="K170" s="35"/>
      <c r="L170" s="35"/>
      <c r="M170" s="38"/>
      <c r="N170" s="37"/>
      <c r="O170" s="33" t="str">
        <f aca="false">IF(G170&lt;&gt;"",TEXT(G170,"MMMM YYYY"),"")</f>
        <v/>
      </c>
      <c r="P170" s="33" t="str">
        <f aca="false">IF(G170&lt;&gt;"",YEAR(G170),"")</f>
        <v/>
      </c>
    </row>
    <row r="171" customFormat="false" ht="21.75" hidden="false" customHeight="true" outlineLevel="0" collapsed="false">
      <c r="A171" s="27" t="str">
        <f aca="false">IF(B171&lt;&gt;"",ROW()-2,"")</f>
        <v/>
      </c>
      <c r="B171" s="28"/>
      <c r="C171" s="28"/>
      <c r="D171" s="28"/>
      <c r="E171" s="28"/>
      <c r="F171" s="28"/>
      <c r="G171" s="29"/>
      <c r="H171" s="30"/>
      <c r="I171" s="31" t="str">
        <f aca="true">IF(AND(G171&lt;&gt;"",H171="En cours"),TODAY()-G171,IF(AND(G171&lt;&gt;"",H171="Cloture"),TODAY()-G171,""))</f>
        <v/>
      </c>
      <c r="J171" s="28"/>
      <c r="K171" s="28"/>
      <c r="L171" s="28"/>
      <c r="M171" s="32"/>
      <c r="N171" s="30"/>
      <c r="O171" s="33" t="str">
        <f aca="false">IF(G171&lt;&gt;"",TEXT(G171,"MMMM YYYY"),"")</f>
        <v/>
      </c>
      <c r="P171" s="33" t="str">
        <f aca="false">IF(G171&lt;&gt;"",YEAR(G171),"")</f>
        <v/>
      </c>
    </row>
    <row r="172" customFormat="false" ht="21.75" hidden="false" customHeight="true" outlineLevel="0" collapsed="false">
      <c r="A172" s="34" t="str">
        <f aca="false">IF(B172&lt;&gt;"",ROW()-2,"")</f>
        <v/>
      </c>
      <c r="B172" s="35"/>
      <c r="C172" s="35"/>
      <c r="D172" s="35"/>
      <c r="E172" s="35"/>
      <c r="F172" s="35"/>
      <c r="G172" s="36"/>
      <c r="H172" s="37"/>
      <c r="I172" s="31" t="str">
        <f aca="true">IF(AND(G172&lt;&gt;"",H172="En cours"),TODAY()-G172,IF(AND(G172&lt;&gt;"",H172="Cloture"),TODAY()-G172,""))</f>
        <v/>
      </c>
      <c r="J172" s="35"/>
      <c r="K172" s="35"/>
      <c r="L172" s="35"/>
      <c r="M172" s="38"/>
      <c r="N172" s="37"/>
      <c r="O172" s="33" t="str">
        <f aca="false">IF(G172&lt;&gt;"",TEXT(G172,"MMMM YYYY"),"")</f>
        <v/>
      </c>
      <c r="P172" s="33" t="str">
        <f aca="false">IF(G172&lt;&gt;"",YEAR(G172),"")</f>
        <v/>
      </c>
    </row>
    <row r="173" customFormat="false" ht="21.75" hidden="false" customHeight="true" outlineLevel="0" collapsed="false">
      <c r="A173" s="27" t="str">
        <f aca="false">IF(B173&lt;&gt;"",ROW()-2,"")</f>
        <v/>
      </c>
      <c r="B173" s="28"/>
      <c r="C173" s="28"/>
      <c r="D173" s="28"/>
      <c r="E173" s="28"/>
      <c r="F173" s="28"/>
      <c r="G173" s="29"/>
      <c r="H173" s="30"/>
      <c r="I173" s="31" t="str">
        <f aca="true">IF(AND(G173&lt;&gt;"",H173="En cours"),TODAY()-G173,IF(AND(G173&lt;&gt;"",H173="Cloture"),TODAY()-G173,""))</f>
        <v/>
      </c>
      <c r="J173" s="28"/>
      <c r="K173" s="28"/>
      <c r="L173" s="28"/>
      <c r="M173" s="32"/>
      <c r="N173" s="30"/>
      <c r="O173" s="33" t="str">
        <f aca="false">IF(G173&lt;&gt;"",TEXT(G173,"MMMM YYYY"),"")</f>
        <v/>
      </c>
      <c r="P173" s="33" t="str">
        <f aca="false">IF(G173&lt;&gt;"",YEAR(G173),"")</f>
        <v/>
      </c>
    </row>
    <row r="174" customFormat="false" ht="21.75" hidden="false" customHeight="true" outlineLevel="0" collapsed="false">
      <c r="A174" s="34" t="str">
        <f aca="false">IF(B174&lt;&gt;"",ROW()-2,"")</f>
        <v/>
      </c>
      <c r="B174" s="35"/>
      <c r="C174" s="35"/>
      <c r="D174" s="35"/>
      <c r="E174" s="35"/>
      <c r="F174" s="35"/>
      <c r="G174" s="36"/>
      <c r="H174" s="37"/>
      <c r="I174" s="31" t="str">
        <f aca="true">IF(AND(G174&lt;&gt;"",H174="En cours"),TODAY()-G174,IF(AND(G174&lt;&gt;"",H174="Cloture"),TODAY()-G174,""))</f>
        <v/>
      </c>
      <c r="J174" s="35"/>
      <c r="K174" s="35"/>
      <c r="L174" s="35"/>
      <c r="M174" s="38"/>
      <c r="N174" s="37"/>
      <c r="O174" s="33" t="str">
        <f aca="false">IF(G174&lt;&gt;"",TEXT(G174,"MMMM YYYY"),"")</f>
        <v/>
      </c>
      <c r="P174" s="33" t="str">
        <f aca="false">IF(G174&lt;&gt;"",YEAR(G174),"")</f>
        <v/>
      </c>
    </row>
    <row r="175" customFormat="false" ht="21.75" hidden="false" customHeight="true" outlineLevel="0" collapsed="false">
      <c r="A175" s="27" t="str">
        <f aca="false">IF(B175&lt;&gt;"",ROW()-2,"")</f>
        <v/>
      </c>
      <c r="B175" s="28"/>
      <c r="C175" s="28"/>
      <c r="D175" s="28"/>
      <c r="E175" s="28"/>
      <c r="F175" s="28"/>
      <c r="G175" s="29"/>
      <c r="H175" s="30"/>
      <c r="I175" s="31" t="str">
        <f aca="true">IF(AND(G175&lt;&gt;"",H175="En cours"),TODAY()-G175,IF(AND(G175&lt;&gt;"",H175="Cloture"),TODAY()-G175,""))</f>
        <v/>
      </c>
      <c r="J175" s="28"/>
      <c r="K175" s="28"/>
      <c r="L175" s="28"/>
      <c r="M175" s="32"/>
      <c r="N175" s="30"/>
      <c r="O175" s="33" t="str">
        <f aca="false">IF(G175&lt;&gt;"",TEXT(G175,"MMMM YYYY"),"")</f>
        <v/>
      </c>
      <c r="P175" s="33" t="str">
        <f aca="false">IF(G175&lt;&gt;"",YEAR(G175),"")</f>
        <v/>
      </c>
    </row>
    <row r="176" customFormat="false" ht="21.75" hidden="false" customHeight="true" outlineLevel="0" collapsed="false">
      <c r="A176" s="34" t="str">
        <f aca="false">IF(B176&lt;&gt;"",ROW()-2,"")</f>
        <v/>
      </c>
      <c r="B176" s="35"/>
      <c r="C176" s="35"/>
      <c r="D176" s="35"/>
      <c r="E176" s="35"/>
      <c r="F176" s="35"/>
      <c r="G176" s="36"/>
      <c r="H176" s="37"/>
      <c r="I176" s="31" t="str">
        <f aca="true">IF(AND(G176&lt;&gt;"",H176="En cours"),TODAY()-G176,IF(AND(G176&lt;&gt;"",H176="Cloture"),TODAY()-G176,""))</f>
        <v/>
      </c>
      <c r="J176" s="35"/>
      <c r="K176" s="35"/>
      <c r="L176" s="35"/>
      <c r="M176" s="38"/>
      <c r="N176" s="37"/>
      <c r="O176" s="33" t="str">
        <f aca="false">IF(G176&lt;&gt;"",TEXT(G176,"MMMM YYYY"),"")</f>
        <v/>
      </c>
      <c r="P176" s="33" t="str">
        <f aca="false">IF(G176&lt;&gt;"",YEAR(G176),"")</f>
        <v/>
      </c>
    </row>
    <row r="177" customFormat="false" ht="21.75" hidden="false" customHeight="true" outlineLevel="0" collapsed="false">
      <c r="A177" s="27" t="str">
        <f aca="false">IF(B177&lt;&gt;"",ROW()-2,"")</f>
        <v/>
      </c>
      <c r="B177" s="28"/>
      <c r="C177" s="28"/>
      <c r="D177" s="28"/>
      <c r="E177" s="28"/>
      <c r="F177" s="28"/>
      <c r="G177" s="29"/>
      <c r="H177" s="30"/>
      <c r="I177" s="31" t="str">
        <f aca="true">IF(AND(G177&lt;&gt;"",H177="En cours"),TODAY()-G177,IF(AND(G177&lt;&gt;"",H177="Cloture"),TODAY()-G177,""))</f>
        <v/>
      </c>
      <c r="J177" s="28"/>
      <c r="K177" s="28"/>
      <c r="L177" s="28"/>
      <c r="M177" s="32"/>
      <c r="N177" s="30"/>
      <c r="O177" s="33" t="str">
        <f aca="false">IF(G177&lt;&gt;"",TEXT(G177,"MMMM YYYY"),"")</f>
        <v/>
      </c>
      <c r="P177" s="33" t="str">
        <f aca="false">IF(G177&lt;&gt;"",YEAR(G177),"")</f>
        <v/>
      </c>
    </row>
    <row r="178" customFormat="false" ht="21.75" hidden="false" customHeight="true" outlineLevel="0" collapsed="false">
      <c r="A178" s="34" t="str">
        <f aca="false">IF(B178&lt;&gt;"",ROW()-2,"")</f>
        <v/>
      </c>
      <c r="B178" s="35"/>
      <c r="C178" s="35"/>
      <c r="D178" s="35"/>
      <c r="E178" s="35"/>
      <c r="F178" s="35"/>
      <c r="G178" s="36"/>
      <c r="H178" s="37"/>
      <c r="I178" s="31" t="str">
        <f aca="true">IF(AND(G178&lt;&gt;"",H178="En cours"),TODAY()-G178,IF(AND(G178&lt;&gt;"",H178="Cloture"),TODAY()-G178,""))</f>
        <v/>
      </c>
      <c r="J178" s="35"/>
      <c r="K178" s="35"/>
      <c r="L178" s="35"/>
      <c r="M178" s="38"/>
      <c r="N178" s="37"/>
      <c r="O178" s="33" t="str">
        <f aca="false">IF(G178&lt;&gt;"",TEXT(G178,"MMMM YYYY"),"")</f>
        <v/>
      </c>
      <c r="P178" s="33" t="str">
        <f aca="false">IF(G178&lt;&gt;"",YEAR(G178),"")</f>
        <v/>
      </c>
    </row>
    <row r="179" customFormat="false" ht="21.75" hidden="false" customHeight="true" outlineLevel="0" collapsed="false">
      <c r="A179" s="27" t="str">
        <f aca="false">IF(B179&lt;&gt;"",ROW()-2,"")</f>
        <v/>
      </c>
      <c r="B179" s="28"/>
      <c r="C179" s="28"/>
      <c r="D179" s="28"/>
      <c r="E179" s="28"/>
      <c r="F179" s="28"/>
      <c r="G179" s="29"/>
      <c r="H179" s="30"/>
      <c r="I179" s="31" t="str">
        <f aca="true">IF(AND(G179&lt;&gt;"",H179="En cours"),TODAY()-G179,IF(AND(G179&lt;&gt;"",H179="Cloture"),TODAY()-G179,""))</f>
        <v/>
      </c>
      <c r="J179" s="28"/>
      <c r="K179" s="28"/>
      <c r="L179" s="28"/>
      <c r="M179" s="32"/>
      <c r="N179" s="30"/>
      <c r="O179" s="33" t="str">
        <f aca="false">IF(G179&lt;&gt;"",TEXT(G179,"MMMM YYYY"),"")</f>
        <v/>
      </c>
      <c r="P179" s="33" t="str">
        <f aca="false">IF(G179&lt;&gt;"",YEAR(G179),"")</f>
        <v/>
      </c>
    </row>
    <row r="180" customFormat="false" ht="21.75" hidden="false" customHeight="true" outlineLevel="0" collapsed="false">
      <c r="A180" s="34" t="str">
        <f aca="false">IF(B180&lt;&gt;"",ROW()-2,"")</f>
        <v/>
      </c>
      <c r="B180" s="35"/>
      <c r="C180" s="35"/>
      <c r="D180" s="35"/>
      <c r="E180" s="35"/>
      <c r="F180" s="35"/>
      <c r="G180" s="36"/>
      <c r="H180" s="37"/>
      <c r="I180" s="31" t="str">
        <f aca="true">IF(AND(G180&lt;&gt;"",H180="En cours"),TODAY()-G180,IF(AND(G180&lt;&gt;"",H180="Cloture"),TODAY()-G180,""))</f>
        <v/>
      </c>
      <c r="J180" s="35"/>
      <c r="K180" s="35"/>
      <c r="L180" s="35"/>
      <c r="M180" s="38"/>
      <c r="N180" s="37"/>
      <c r="O180" s="33" t="str">
        <f aca="false">IF(G180&lt;&gt;"",TEXT(G180,"MMMM YYYY"),"")</f>
        <v/>
      </c>
      <c r="P180" s="33" t="str">
        <f aca="false">IF(G180&lt;&gt;"",YEAR(G180),"")</f>
        <v/>
      </c>
    </row>
    <row r="181" customFormat="false" ht="21.75" hidden="false" customHeight="true" outlineLevel="0" collapsed="false">
      <c r="A181" s="27" t="str">
        <f aca="false">IF(B181&lt;&gt;"",ROW()-2,"")</f>
        <v/>
      </c>
      <c r="B181" s="28"/>
      <c r="C181" s="28"/>
      <c r="D181" s="28"/>
      <c r="E181" s="28"/>
      <c r="F181" s="28"/>
      <c r="G181" s="29"/>
      <c r="H181" s="30"/>
      <c r="I181" s="31" t="str">
        <f aca="true">IF(AND(G181&lt;&gt;"",H181="En cours"),TODAY()-G181,IF(AND(G181&lt;&gt;"",H181="Cloture"),TODAY()-G181,""))</f>
        <v/>
      </c>
      <c r="J181" s="28"/>
      <c r="K181" s="28"/>
      <c r="L181" s="28"/>
      <c r="M181" s="32"/>
      <c r="N181" s="30"/>
      <c r="O181" s="33" t="str">
        <f aca="false">IF(G181&lt;&gt;"",TEXT(G181,"MMMM YYYY"),"")</f>
        <v/>
      </c>
      <c r="P181" s="33" t="str">
        <f aca="false">IF(G181&lt;&gt;"",YEAR(G181),"")</f>
        <v/>
      </c>
    </row>
    <row r="182" customFormat="false" ht="21.75" hidden="false" customHeight="true" outlineLevel="0" collapsed="false">
      <c r="A182" s="34" t="str">
        <f aca="false">IF(B182&lt;&gt;"",ROW()-2,"")</f>
        <v/>
      </c>
      <c r="B182" s="35"/>
      <c r="C182" s="35"/>
      <c r="D182" s="35"/>
      <c r="E182" s="35"/>
      <c r="F182" s="35"/>
      <c r="G182" s="36"/>
      <c r="H182" s="37"/>
      <c r="I182" s="31" t="str">
        <f aca="true">IF(AND(G182&lt;&gt;"",H182="En cours"),TODAY()-G182,IF(AND(G182&lt;&gt;"",H182="Cloture"),TODAY()-G182,""))</f>
        <v/>
      </c>
      <c r="J182" s="35"/>
      <c r="K182" s="35"/>
      <c r="L182" s="35"/>
      <c r="M182" s="38"/>
      <c r="N182" s="37"/>
      <c r="O182" s="33" t="str">
        <f aca="false">IF(G182&lt;&gt;"",TEXT(G182,"MMMM YYYY"),"")</f>
        <v/>
      </c>
      <c r="P182" s="33" t="str">
        <f aca="false">IF(G182&lt;&gt;"",YEAR(G182),"")</f>
        <v/>
      </c>
    </row>
    <row r="183" customFormat="false" ht="21.75" hidden="false" customHeight="true" outlineLevel="0" collapsed="false">
      <c r="A183" s="27" t="str">
        <f aca="false">IF(B183&lt;&gt;"",ROW()-2,"")</f>
        <v/>
      </c>
      <c r="B183" s="28"/>
      <c r="C183" s="28"/>
      <c r="D183" s="28"/>
      <c r="E183" s="28"/>
      <c r="F183" s="28"/>
      <c r="G183" s="29"/>
      <c r="H183" s="30"/>
      <c r="I183" s="31" t="str">
        <f aca="true">IF(AND(G183&lt;&gt;"",H183="En cours"),TODAY()-G183,IF(AND(G183&lt;&gt;"",H183="Cloture"),TODAY()-G183,""))</f>
        <v/>
      </c>
      <c r="J183" s="28"/>
      <c r="K183" s="28"/>
      <c r="L183" s="28"/>
      <c r="M183" s="32"/>
      <c r="N183" s="30"/>
      <c r="O183" s="33" t="str">
        <f aca="false">IF(G183&lt;&gt;"",TEXT(G183,"MMMM YYYY"),"")</f>
        <v/>
      </c>
      <c r="P183" s="33" t="str">
        <f aca="false">IF(G183&lt;&gt;"",YEAR(G183),"")</f>
        <v/>
      </c>
    </row>
    <row r="184" customFormat="false" ht="21.75" hidden="false" customHeight="true" outlineLevel="0" collapsed="false">
      <c r="A184" s="34" t="str">
        <f aca="false">IF(B184&lt;&gt;"",ROW()-2,"")</f>
        <v/>
      </c>
      <c r="B184" s="35"/>
      <c r="C184" s="35"/>
      <c r="D184" s="35"/>
      <c r="E184" s="35"/>
      <c r="F184" s="35"/>
      <c r="G184" s="36"/>
      <c r="H184" s="37"/>
      <c r="I184" s="31" t="str">
        <f aca="true">IF(AND(G184&lt;&gt;"",H184="En cours"),TODAY()-G184,IF(AND(G184&lt;&gt;"",H184="Cloture"),TODAY()-G184,""))</f>
        <v/>
      </c>
      <c r="J184" s="35"/>
      <c r="K184" s="35"/>
      <c r="L184" s="35"/>
      <c r="M184" s="38"/>
      <c r="N184" s="37"/>
      <c r="O184" s="33" t="str">
        <f aca="false">IF(G184&lt;&gt;"",TEXT(G184,"MMMM YYYY"),"")</f>
        <v/>
      </c>
      <c r="P184" s="33" t="str">
        <f aca="false">IF(G184&lt;&gt;"",YEAR(G184),"")</f>
        <v/>
      </c>
    </row>
    <row r="185" customFormat="false" ht="21.75" hidden="false" customHeight="true" outlineLevel="0" collapsed="false">
      <c r="A185" s="27" t="str">
        <f aca="false">IF(B185&lt;&gt;"",ROW()-2,"")</f>
        <v/>
      </c>
      <c r="B185" s="28"/>
      <c r="C185" s="28"/>
      <c r="D185" s="28"/>
      <c r="E185" s="28"/>
      <c r="F185" s="28"/>
      <c r="G185" s="29"/>
      <c r="H185" s="30"/>
      <c r="I185" s="31" t="str">
        <f aca="true">IF(AND(G185&lt;&gt;"",H185="En cours"),TODAY()-G185,IF(AND(G185&lt;&gt;"",H185="Cloture"),TODAY()-G185,""))</f>
        <v/>
      </c>
      <c r="J185" s="28"/>
      <c r="K185" s="28"/>
      <c r="L185" s="28"/>
      <c r="M185" s="32"/>
      <c r="N185" s="30"/>
      <c r="O185" s="33" t="str">
        <f aca="false">IF(G185&lt;&gt;"",TEXT(G185,"MMMM YYYY"),"")</f>
        <v/>
      </c>
      <c r="P185" s="33" t="str">
        <f aca="false">IF(G185&lt;&gt;"",YEAR(G185),"")</f>
        <v/>
      </c>
    </row>
    <row r="186" customFormat="false" ht="21.75" hidden="false" customHeight="true" outlineLevel="0" collapsed="false">
      <c r="A186" s="34" t="str">
        <f aca="false">IF(B186&lt;&gt;"",ROW()-2,"")</f>
        <v/>
      </c>
      <c r="B186" s="35"/>
      <c r="C186" s="35"/>
      <c r="D186" s="35"/>
      <c r="E186" s="35"/>
      <c r="F186" s="35"/>
      <c r="G186" s="36"/>
      <c r="H186" s="37"/>
      <c r="I186" s="31" t="str">
        <f aca="true">IF(AND(G186&lt;&gt;"",H186="En cours"),TODAY()-G186,IF(AND(G186&lt;&gt;"",H186="Cloture"),TODAY()-G186,""))</f>
        <v/>
      </c>
      <c r="J186" s="35"/>
      <c r="K186" s="35"/>
      <c r="L186" s="35"/>
      <c r="M186" s="38"/>
      <c r="N186" s="37"/>
      <c r="O186" s="33" t="str">
        <f aca="false">IF(G186&lt;&gt;"",TEXT(G186,"MMMM YYYY"),"")</f>
        <v/>
      </c>
      <c r="P186" s="33" t="str">
        <f aca="false">IF(G186&lt;&gt;"",YEAR(G186),"")</f>
        <v/>
      </c>
    </row>
    <row r="187" customFormat="false" ht="21.75" hidden="false" customHeight="true" outlineLevel="0" collapsed="false">
      <c r="A187" s="27" t="str">
        <f aca="false">IF(B187&lt;&gt;"",ROW()-2,"")</f>
        <v/>
      </c>
      <c r="B187" s="28"/>
      <c r="C187" s="28"/>
      <c r="D187" s="28"/>
      <c r="E187" s="28"/>
      <c r="F187" s="28"/>
      <c r="G187" s="29"/>
      <c r="H187" s="30"/>
      <c r="I187" s="31" t="str">
        <f aca="true">IF(AND(G187&lt;&gt;"",H187="En cours"),TODAY()-G187,IF(AND(G187&lt;&gt;"",H187="Cloture"),TODAY()-G187,""))</f>
        <v/>
      </c>
      <c r="J187" s="28"/>
      <c r="K187" s="28"/>
      <c r="L187" s="28"/>
      <c r="M187" s="32"/>
      <c r="N187" s="30"/>
      <c r="O187" s="33" t="str">
        <f aca="false">IF(G187&lt;&gt;"",TEXT(G187,"MMMM YYYY"),"")</f>
        <v/>
      </c>
      <c r="P187" s="33" t="str">
        <f aca="false">IF(G187&lt;&gt;"",YEAR(G187),"")</f>
        <v/>
      </c>
    </row>
    <row r="188" customFormat="false" ht="21.75" hidden="false" customHeight="true" outlineLevel="0" collapsed="false">
      <c r="A188" s="34" t="str">
        <f aca="false">IF(B188&lt;&gt;"",ROW()-2,"")</f>
        <v/>
      </c>
      <c r="B188" s="35"/>
      <c r="C188" s="35"/>
      <c r="D188" s="35"/>
      <c r="E188" s="35"/>
      <c r="F188" s="35"/>
      <c r="G188" s="36"/>
      <c r="H188" s="37"/>
      <c r="I188" s="31" t="str">
        <f aca="true">IF(AND(G188&lt;&gt;"",H188="En cours"),TODAY()-G188,IF(AND(G188&lt;&gt;"",H188="Cloture"),TODAY()-G188,""))</f>
        <v/>
      </c>
      <c r="J188" s="35"/>
      <c r="K188" s="35"/>
      <c r="L188" s="35"/>
      <c r="M188" s="38"/>
      <c r="N188" s="37"/>
      <c r="O188" s="33" t="str">
        <f aca="false">IF(G188&lt;&gt;"",TEXT(G188,"MMMM YYYY"),"")</f>
        <v/>
      </c>
      <c r="P188" s="33" t="str">
        <f aca="false">IF(G188&lt;&gt;"",YEAR(G188),"")</f>
        <v/>
      </c>
    </row>
    <row r="189" customFormat="false" ht="21.75" hidden="false" customHeight="true" outlineLevel="0" collapsed="false">
      <c r="A189" s="27" t="str">
        <f aca="false">IF(B189&lt;&gt;"",ROW()-2,"")</f>
        <v/>
      </c>
      <c r="B189" s="28"/>
      <c r="C189" s="28"/>
      <c r="D189" s="28"/>
      <c r="E189" s="28"/>
      <c r="F189" s="28"/>
      <c r="G189" s="29"/>
      <c r="H189" s="30"/>
      <c r="I189" s="31" t="str">
        <f aca="true">IF(AND(G189&lt;&gt;"",H189="En cours"),TODAY()-G189,IF(AND(G189&lt;&gt;"",H189="Cloture"),TODAY()-G189,""))</f>
        <v/>
      </c>
      <c r="J189" s="28"/>
      <c r="K189" s="28"/>
      <c r="L189" s="28"/>
      <c r="M189" s="32"/>
      <c r="N189" s="30"/>
      <c r="O189" s="33" t="str">
        <f aca="false">IF(G189&lt;&gt;"",TEXT(G189,"MMMM YYYY"),"")</f>
        <v/>
      </c>
      <c r="P189" s="33" t="str">
        <f aca="false">IF(G189&lt;&gt;"",YEAR(G189),"")</f>
        <v/>
      </c>
    </row>
    <row r="190" customFormat="false" ht="21.75" hidden="false" customHeight="true" outlineLevel="0" collapsed="false">
      <c r="A190" s="34" t="str">
        <f aca="false">IF(B190&lt;&gt;"",ROW()-2,"")</f>
        <v/>
      </c>
      <c r="B190" s="35"/>
      <c r="C190" s="35"/>
      <c r="D190" s="35"/>
      <c r="E190" s="35"/>
      <c r="F190" s="35"/>
      <c r="G190" s="36"/>
      <c r="H190" s="37"/>
      <c r="I190" s="31" t="str">
        <f aca="true">IF(AND(G190&lt;&gt;"",H190="En cours"),TODAY()-G190,IF(AND(G190&lt;&gt;"",H190="Cloture"),TODAY()-G190,""))</f>
        <v/>
      </c>
      <c r="J190" s="35"/>
      <c r="K190" s="35"/>
      <c r="L190" s="35"/>
      <c r="M190" s="38"/>
      <c r="N190" s="37"/>
      <c r="O190" s="33" t="str">
        <f aca="false">IF(G190&lt;&gt;"",TEXT(G190,"MMMM YYYY"),"")</f>
        <v/>
      </c>
      <c r="P190" s="33" t="str">
        <f aca="false">IF(G190&lt;&gt;"",YEAR(G190),"")</f>
        <v/>
      </c>
    </row>
    <row r="191" customFormat="false" ht="21.75" hidden="false" customHeight="true" outlineLevel="0" collapsed="false">
      <c r="A191" s="27" t="str">
        <f aca="false">IF(B191&lt;&gt;"",ROW()-2,"")</f>
        <v/>
      </c>
      <c r="B191" s="28"/>
      <c r="C191" s="28"/>
      <c r="D191" s="28"/>
      <c r="E191" s="28"/>
      <c r="F191" s="28"/>
      <c r="G191" s="29"/>
      <c r="H191" s="30"/>
      <c r="I191" s="31" t="str">
        <f aca="true">IF(AND(G191&lt;&gt;"",H191="En cours"),TODAY()-G191,IF(AND(G191&lt;&gt;"",H191="Cloture"),TODAY()-G191,""))</f>
        <v/>
      </c>
      <c r="J191" s="28"/>
      <c r="K191" s="28"/>
      <c r="L191" s="28"/>
      <c r="M191" s="32"/>
      <c r="N191" s="30"/>
      <c r="O191" s="33" t="str">
        <f aca="false">IF(G191&lt;&gt;"",TEXT(G191,"MMMM YYYY"),"")</f>
        <v/>
      </c>
      <c r="P191" s="33" t="str">
        <f aca="false">IF(G191&lt;&gt;"",YEAR(G191),"")</f>
        <v/>
      </c>
    </row>
    <row r="192" customFormat="false" ht="21.75" hidden="false" customHeight="true" outlineLevel="0" collapsed="false">
      <c r="A192" s="34" t="str">
        <f aca="false">IF(B192&lt;&gt;"",ROW()-2,"")</f>
        <v/>
      </c>
      <c r="B192" s="35"/>
      <c r="C192" s="35"/>
      <c r="D192" s="35"/>
      <c r="E192" s="35"/>
      <c r="F192" s="35"/>
      <c r="G192" s="36"/>
      <c r="H192" s="37"/>
      <c r="I192" s="31" t="str">
        <f aca="true">IF(AND(G192&lt;&gt;"",H192="En cours"),TODAY()-G192,IF(AND(G192&lt;&gt;"",H192="Cloture"),TODAY()-G192,""))</f>
        <v/>
      </c>
      <c r="J192" s="35"/>
      <c r="K192" s="35"/>
      <c r="L192" s="35"/>
      <c r="M192" s="38"/>
      <c r="N192" s="37"/>
      <c r="O192" s="33" t="str">
        <f aca="false">IF(G192&lt;&gt;"",TEXT(G192,"MMMM YYYY"),"")</f>
        <v/>
      </c>
      <c r="P192" s="33" t="str">
        <f aca="false">IF(G192&lt;&gt;"",YEAR(G192),"")</f>
        <v/>
      </c>
    </row>
    <row r="193" customFormat="false" ht="21.75" hidden="false" customHeight="true" outlineLevel="0" collapsed="false">
      <c r="A193" s="27" t="str">
        <f aca="false">IF(B193&lt;&gt;"",ROW()-2,"")</f>
        <v/>
      </c>
      <c r="B193" s="28"/>
      <c r="C193" s="28"/>
      <c r="D193" s="28"/>
      <c r="E193" s="28"/>
      <c r="F193" s="28"/>
      <c r="G193" s="29"/>
      <c r="H193" s="30"/>
      <c r="I193" s="31" t="str">
        <f aca="true">IF(AND(G193&lt;&gt;"",H193="En cours"),TODAY()-G193,IF(AND(G193&lt;&gt;"",H193="Cloture"),TODAY()-G193,""))</f>
        <v/>
      </c>
      <c r="J193" s="28"/>
      <c r="K193" s="28"/>
      <c r="L193" s="28"/>
      <c r="M193" s="32"/>
      <c r="N193" s="30"/>
      <c r="O193" s="33" t="str">
        <f aca="false">IF(G193&lt;&gt;"",TEXT(G193,"MMMM YYYY"),"")</f>
        <v/>
      </c>
      <c r="P193" s="33" t="str">
        <f aca="false">IF(G193&lt;&gt;"",YEAR(G193),"")</f>
        <v/>
      </c>
    </row>
    <row r="194" customFormat="false" ht="21.75" hidden="false" customHeight="true" outlineLevel="0" collapsed="false">
      <c r="A194" s="34" t="str">
        <f aca="false">IF(B194&lt;&gt;"",ROW()-2,"")</f>
        <v/>
      </c>
      <c r="B194" s="35"/>
      <c r="C194" s="35"/>
      <c r="D194" s="35"/>
      <c r="E194" s="35"/>
      <c r="F194" s="35"/>
      <c r="G194" s="36"/>
      <c r="H194" s="37"/>
      <c r="I194" s="31" t="str">
        <f aca="true">IF(AND(G194&lt;&gt;"",H194="En cours"),TODAY()-G194,IF(AND(G194&lt;&gt;"",H194="Cloture"),TODAY()-G194,""))</f>
        <v/>
      </c>
      <c r="J194" s="35"/>
      <c r="K194" s="35"/>
      <c r="L194" s="35"/>
      <c r="M194" s="38"/>
      <c r="N194" s="37"/>
      <c r="O194" s="33" t="str">
        <f aca="false">IF(G194&lt;&gt;"",TEXT(G194,"MMMM YYYY"),"")</f>
        <v/>
      </c>
      <c r="P194" s="33" t="str">
        <f aca="false">IF(G194&lt;&gt;"",YEAR(G194),"")</f>
        <v/>
      </c>
    </row>
    <row r="195" customFormat="false" ht="21.75" hidden="false" customHeight="true" outlineLevel="0" collapsed="false">
      <c r="A195" s="27" t="str">
        <f aca="false">IF(B195&lt;&gt;"",ROW()-2,"")</f>
        <v/>
      </c>
      <c r="B195" s="28"/>
      <c r="C195" s="28"/>
      <c r="D195" s="28"/>
      <c r="E195" s="28"/>
      <c r="F195" s="28"/>
      <c r="G195" s="29"/>
      <c r="H195" s="30"/>
      <c r="I195" s="31" t="str">
        <f aca="true">IF(AND(G195&lt;&gt;"",H195="En cours"),TODAY()-G195,IF(AND(G195&lt;&gt;"",H195="Cloture"),TODAY()-G195,""))</f>
        <v/>
      </c>
      <c r="J195" s="28"/>
      <c r="K195" s="28"/>
      <c r="L195" s="28"/>
      <c r="M195" s="32"/>
      <c r="N195" s="30"/>
      <c r="O195" s="33" t="str">
        <f aca="false">IF(G195&lt;&gt;"",TEXT(G195,"MMMM YYYY"),"")</f>
        <v/>
      </c>
      <c r="P195" s="33" t="str">
        <f aca="false">IF(G195&lt;&gt;"",YEAR(G195),"")</f>
        <v/>
      </c>
    </row>
    <row r="196" customFormat="false" ht="21.75" hidden="false" customHeight="true" outlineLevel="0" collapsed="false">
      <c r="A196" s="34" t="str">
        <f aca="false">IF(B196&lt;&gt;"",ROW()-2,"")</f>
        <v/>
      </c>
      <c r="B196" s="35"/>
      <c r="C196" s="35"/>
      <c r="D196" s="35"/>
      <c r="E196" s="35"/>
      <c r="F196" s="35"/>
      <c r="G196" s="36"/>
      <c r="H196" s="37"/>
      <c r="I196" s="31" t="str">
        <f aca="true">IF(AND(G196&lt;&gt;"",H196="En cours"),TODAY()-G196,IF(AND(G196&lt;&gt;"",H196="Cloture"),TODAY()-G196,""))</f>
        <v/>
      </c>
      <c r="J196" s="35"/>
      <c r="K196" s="35"/>
      <c r="L196" s="35"/>
      <c r="M196" s="38"/>
      <c r="N196" s="37"/>
      <c r="O196" s="33" t="str">
        <f aca="false">IF(G196&lt;&gt;"",TEXT(G196,"MMMM YYYY"),"")</f>
        <v/>
      </c>
      <c r="P196" s="33" t="str">
        <f aca="false">IF(G196&lt;&gt;"",YEAR(G196),"")</f>
        <v/>
      </c>
    </row>
    <row r="197" customFormat="false" ht="21.75" hidden="false" customHeight="true" outlineLevel="0" collapsed="false">
      <c r="A197" s="27" t="str">
        <f aca="false">IF(B197&lt;&gt;"",ROW()-2,"")</f>
        <v/>
      </c>
      <c r="B197" s="28"/>
      <c r="C197" s="28"/>
      <c r="D197" s="28"/>
      <c r="E197" s="28"/>
      <c r="F197" s="28"/>
      <c r="G197" s="29"/>
      <c r="H197" s="30"/>
      <c r="I197" s="31" t="str">
        <f aca="true">IF(AND(G197&lt;&gt;"",H197="En cours"),TODAY()-G197,IF(AND(G197&lt;&gt;"",H197="Cloture"),TODAY()-G197,""))</f>
        <v/>
      </c>
      <c r="J197" s="28"/>
      <c r="K197" s="28"/>
      <c r="L197" s="28"/>
      <c r="M197" s="32"/>
      <c r="N197" s="30"/>
      <c r="O197" s="33" t="str">
        <f aca="false">IF(G197&lt;&gt;"",TEXT(G197,"MMMM YYYY"),"")</f>
        <v/>
      </c>
      <c r="P197" s="33" t="str">
        <f aca="false">IF(G197&lt;&gt;"",YEAR(G197),"")</f>
        <v/>
      </c>
    </row>
    <row r="198" customFormat="false" ht="21.75" hidden="false" customHeight="true" outlineLevel="0" collapsed="false">
      <c r="A198" s="34" t="str">
        <f aca="false">IF(B198&lt;&gt;"",ROW()-2,"")</f>
        <v/>
      </c>
      <c r="B198" s="35"/>
      <c r="C198" s="35"/>
      <c r="D198" s="35"/>
      <c r="E198" s="35"/>
      <c r="F198" s="35"/>
      <c r="G198" s="36"/>
      <c r="H198" s="37"/>
      <c r="I198" s="31" t="str">
        <f aca="true">IF(AND(G198&lt;&gt;"",H198="En cours"),TODAY()-G198,IF(AND(G198&lt;&gt;"",H198="Cloture"),TODAY()-G198,""))</f>
        <v/>
      </c>
      <c r="J198" s="35"/>
      <c r="K198" s="35"/>
      <c r="L198" s="35"/>
      <c r="M198" s="38"/>
      <c r="N198" s="37"/>
      <c r="O198" s="33" t="str">
        <f aca="false">IF(G198&lt;&gt;"",TEXT(G198,"MMMM YYYY"),"")</f>
        <v/>
      </c>
      <c r="P198" s="33" t="str">
        <f aca="false">IF(G198&lt;&gt;"",YEAR(G198),"")</f>
        <v/>
      </c>
    </row>
    <row r="199" customFormat="false" ht="21.75" hidden="false" customHeight="true" outlineLevel="0" collapsed="false">
      <c r="A199" s="27" t="str">
        <f aca="false">IF(B199&lt;&gt;"",ROW()-2,"")</f>
        <v/>
      </c>
      <c r="B199" s="28"/>
      <c r="C199" s="28"/>
      <c r="D199" s="28"/>
      <c r="E199" s="28"/>
      <c r="F199" s="28"/>
      <c r="G199" s="29"/>
      <c r="H199" s="30"/>
      <c r="I199" s="31" t="str">
        <f aca="true">IF(AND(G199&lt;&gt;"",H199="En cours"),TODAY()-G199,IF(AND(G199&lt;&gt;"",H199="Cloture"),TODAY()-G199,""))</f>
        <v/>
      </c>
      <c r="J199" s="28"/>
      <c r="K199" s="28"/>
      <c r="L199" s="28"/>
      <c r="M199" s="32"/>
      <c r="N199" s="30"/>
      <c r="O199" s="33" t="str">
        <f aca="false">IF(G199&lt;&gt;"",TEXT(G199,"MMMM YYYY"),"")</f>
        <v/>
      </c>
      <c r="P199" s="33" t="str">
        <f aca="false">IF(G199&lt;&gt;"",YEAR(G199),"")</f>
        <v/>
      </c>
    </row>
    <row r="200" customFormat="false" ht="21.75" hidden="false" customHeight="true" outlineLevel="0" collapsed="false">
      <c r="A200" s="34" t="str">
        <f aca="false">IF(B200&lt;&gt;"",ROW()-2,"")</f>
        <v/>
      </c>
      <c r="B200" s="35"/>
      <c r="C200" s="35"/>
      <c r="D200" s="35"/>
      <c r="E200" s="35"/>
      <c r="F200" s="35"/>
      <c r="G200" s="36"/>
      <c r="H200" s="37"/>
      <c r="I200" s="31" t="str">
        <f aca="true">IF(AND(G200&lt;&gt;"",H200="En cours"),TODAY()-G200,IF(AND(G200&lt;&gt;"",H200="Cloture"),TODAY()-G200,""))</f>
        <v/>
      </c>
      <c r="J200" s="35"/>
      <c r="K200" s="35"/>
      <c r="L200" s="35"/>
      <c r="M200" s="38"/>
      <c r="N200" s="37"/>
      <c r="O200" s="33" t="str">
        <f aca="false">IF(G200&lt;&gt;"",TEXT(G200,"MMMM YYYY"),"")</f>
        <v/>
      </c>
      <c r="P200" s="33" t="str">
        <f aca="false">IF(G200&lt;&gt;"",YEAR(G200),"")</f>
        <v/>
      </c>
    </row>
    <row r="201" customFormat="false" ht="21.75" hidden="false" customHeight="true" outlineLevel="0" collapsed="false">
      <c r="A201" s="27" t="str">
        <f aca="false">IF(B201&lt;&gt;"",ROW()-2,"")</f>
        <v/>
      </c>
      <c r="B201" s="28"/>
      <c r="C201" s="28"/>
      <c r="D201" s="28"/>
      <c r="E201" s="28"/>
      <c r="F201" s="28"/>
      <c r="G201" s="29"/>
      <c r="H201" s="30"/>
      <c r="I201" s="31" t="str">
        <f aca="true">IF(AND(G201&lt;&gt;"",H201="En cours"),TODAY()-G201,IF(AND(G201&lt;&gt;"",H201="Cloture"),TODAY()-G201,""))</f>
        <v/>
      </c>
      <c r="J201" s="28"/>
      <c r="K201" s="28"/>
      <c r="L201" s="28"/>
      <c r="M201" s="32"/>
      <c r="N201" s="30"/>
      <c r="O201" s="33" t="str">
        <f aca="false">IF(G201&lt;&gt;"",TEXT(G201,"MMMM YYYY"),"")</f>
        <v/>
      </c>
      <c r="P201" s="33" t="str">
        <f aca="false">IF(G201&lt;&gt;"",YEAR(G201),"")</f>
        <v/>
      </c>
    </row>
    <row r="202" customFormat="false" ht="21.75" hidden="false" customHeight="true" outlineLevel="0" collapsed="false">
      <c r="A202" s="34" t="str">
        <f aca="false">IF(B202&lt;&gt;"",ROW()-2,"")</f>
        <v/>
      </c>
      <c r="B202" s="35"/>
      <c r="C202" s="35"/>
      <c r="D202" s="35"/>
      <c r="E202" s="35"/>
      <c r="F202" s="35"/>
      <c r="G202" s="36"/>
      <c r="H202" s="37"/>
      <c r="I202" s="31" t="str">
        <f aca="true">IF(AND(G202&lt;&gt;"",H202="En cours"),TODAY()-G202,IF(AND(G202&lt;&gt;"",H202="Cloture"),TODAY()-G202,""))</f>
        <v/>
      </c>
      <c r="J202" s="35"/>
      <c r="K202" s="35"/>
      <c r="L202" s="35"/>
      <c r="M202" s="38"/>
      <c r="N202" s="37"/>
      <c r="O202" s="33" t="str">
        <f aca="false">IF(G202&lt;&gt;"",TEXT(G202,"MMMM YYYY"),"")</f>
        <v/>
      </c>
      <c r="P202" s="33" t="str">
        <f aca="false">IF(G202&lt;&gt;"",YEAR(G202),"")</f>
        <v/>
      </c>
    </row>
  </sheetData>
  <mergeCells count="1">
    <mergeCell ref="A1:P1"/>
  </mergeCells>
  <conditionalFormatting sqref="H3:H202">
    <cfRule type="cellIs" priority="2" operator="equal" aboveAverage="0" equalAverage="0" bottom="0" percent="0" rank="0" text="" dxfId="10">
      <formula>"En cours"</formula>
    </cfRule>
    <cfRule type="cellIs" priority="3" operator="equal" aboveAverage="0" equalAverage="0" bottom="0" percent="0" rank="0" text="" dxfId="11">
      <formula>"Cloture"</formula>
    </cfRule>
    <cfRule type="cellIs" priority="4" operator="equal" aboveAverage="0" equalAverage="0" bottom="0" percent="0" rank="0" text="" dxfId="12">
      <formula>"En attente"</formula>
    </cfRule>
  </conditionalFormatting>
  <conditionalFormatting sqref="I3:I202">
    <cfRule type="expression" priority="5" aboveAverage="0" equalAverage="0" bottom="0" percent="0" rank="0" text="" dxfId="13">
      <formula>AND(I3&gt;30,H3="En cours")</formula>
    </cfRule>
    <cfRule type="expression" priority="6" aboveAverage="0" equalAverage="0" bottom="0" percent="0" rank="0" text="" dxfId="14">
      <formula>AND(I3&gt;15,I3&lt;=30,H3="En cours")</formula>
    </cfRule>
  </conditionalFormatting>
  <dataValidations count="3">
    <dataValidation allowBlank="true" errorStyle="stop" operator="between" prompt="Statut du dossier" showDropDown="false" showErrorMessage="false" showInputMessage="false" sqref="H3:H202" type="list">
      <formula1>"En cours,Cloture,En attente"</formula1>
      <formula2>0</formula2>
    </dataValidation>
    <dataValidation allowBlank="true" errorStyle="stop" operator="between" prompt="Raison du suspens" showDropDown="false" showErrorMessage="false" showInputMessage="false" sqref="J3:L202" type="list">
      <formula1>parametres!$a$2:$a$28</formula1>
      <formula2>0</formula2>
    </dataValidation>
    <dataValidation allowBlank="true" errorStyle="stop" operator="between" showDropDown="false" showErrorMessage="false" showInputMessage="false" sqref="E3:E202" type="list">
      <formula1>parametres!$c$2:$c$100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G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</cols>
  <sheetData>
    <row r="1" customFormat="false" ht="34.5" hidden="false" customHeight="true" outlineLevel="0" collapsed="false">
      <c r="A1" s="39" t="s">
        <v>56</v>
      </c>
      <c r="B1" s="39"/>
      <c r="C1" s="39"/>
      <c r="D1" s="39"/>
      <c r="E1" s="39"/>
      <c r="F1" s="39"/>
      <c r="G1" s="39"/>
    </row>
    <row r="2" customFormat="false" ht="7.5" hidden="false" customHeight="true" outlineLevel="0" collapsed="false"/>
    <row r="3" customFormat="false" ht="24.75" hidden="false" customHeight="true" outlineLevel="0" collapsed="false">
      <c r="A3" s="40" t="s">
        <v>57</v>
      </c>
      <c r="B3" s="40"/>
      <c r="C3" s="40"/>
      <c r="D3" s="40"/>
      <c r="E3" s="40"/>
      <c r="F3" s="40"/>
      <c r="G3" s="40"/>
    </row>
    <row r="4" customFormat="false" ht="21.75" hidden="false" customHeight="true" outlineLevel="0" collapsed="false">
      <c r="A4" s="41" t="s">
        <v>58</v>
      </c>
      <c r="B4" s="41" t="s">
        <v>59</v>
      </c>
      <c r="C4" s="41" t="s">
        <v>60</v>
      </c>
      <c r="D4" s="41" t="s">
        <v>61</v>
      </c>
      <c r="E4" s="41" t="s">
        <v>62</v>
      </c>
      <c r="F4" s="41" t="s">
        <v>63</v>
      </c>
      <c r="G4" s="41" t="s">
        <v>64</v>
      </c>
    </row>
    <row r="5" customFormat="false" ht="21.75" hidden="false" customHeight="true" outlineLevel="0" collapsed="false">
      <c r="A5" s="35" t="s">
        <v>65</v>
      </c>
      <c r="B5" s="42" t="n">
        <f aca="false">COUNTIF('📋 Suspens'!J:J,A5)+COUNTIF('📋 Suspens'!K:K,A5)+COUNTIF('📋 Suspens'!L:L,A5)</f>
        <v>0</v>
      </c>
      <c r="C5" s="37" t="n">
        <f aca="false">COUNTIFS('📋 Suspens'!J:J,A5,'📋 Suspens'!H:H,"En cours")+COUNTIFS('📋 Suspens'!K:K,A5,'📋 Suspens'!H:H,"En cours")+COUNTIFS('📋 Suspens'!L:L,A5,'📋 Suspens'!H:H,"En cours")</f>
        <v>0</v>
      </c>
      <c r="D5" s="37" t="n">
        <f aca="false">COUNTIFS('📋 Suspens'!J:J,A5,'📋 Suspens'!H:H,"Cloture")+COUNTIFS('📋 Suspens'!K:K,A5,'📋 Suspens'!H:H,"Cloture")+COUNTIFS('📋 Suspens'!L:L,A5,'📋 Suspens'!H:H,"Cloture")</f>
        <v>0</v>
      </c>
      <c r="E5" s="37" t="n">
        <f aca="false">COUNTIFS('📋 Suspens'!J:J,A5,'📋 Suspens'!H:H,"En attente")+COUNTIFS('📋 Suspens'!K:K,A5,'📋 Suspens'!H:H,"En attente")+COUNTIFS('📋 Suspens'!L:L,A5,'📋 Suspens'!H:H,"En attente")</f>
        <v>0</v>
      </c>
      <c r="F5" s="43" t="str">
        <f aca="false">IFERROR(AVERAGEIFS('📋 Suspens'!I:I,'📋 Suspens'!J:J,A5,'📋 Suspens'!H:H,"Cloture"),"")</f>
        <v/>
      </c>
      <c r="G5" s="44" t="n">
        <f aca="false">IFERROR(B5/SUM($B$5:$B$31),0)</f>
        <v>0</v>
      </c>
    </row>
    <row r="6" customFormat="false" ht="21.75" hidden="false" customHeight="true" outlineLevel="0" collapsed="false">
      <c r="A6" s="28" t="s">
        <v>66</v>
      </c>
      <c r="B6" s="45" t="n">
        <f aca="false">COUNTIF('📋 Suspens'!J:J,A6)+COUNTIF('📋 Suspens'!K:K,A6)+COUNTIF('📋 Suspens'!L:L,A6)</f>
        <v>0</v>
      </c>
      <c r="C6" s="30" t="n">
        <f aca="false">COUNTIFS('📋 Suspens'!J:J,A6,'📋 Suspens'!H:H,"En cours")+COUNTIFS('📋 Suspens'!K:K,A6,'📋 Suspens'!H:H,"En cours")+COUNTIFS('📋 Suspens'!L:L,A6,'📋 Suspens'!H:H,"En cours")</f>
        <v>0</v>
      </c>
      <c r="D6" s="30" t="n">
        <f aca="false">COUNTIFS('📋 Suspens'!J:J,A6,'📋 Suspens'!H:H,"Cloture")+COUNTIFS('📋 Suspens'!K:K,A6,'📋 Suspens'!H:H,"Cloture")+COUNTIFS('📋 Suspens'!L:L,A6,'📋 Suspens'!H:H,"Cloture")</f>
        <v>0</v>
      </c>
      <c r="E6" s="30" t="n">
        <f aca="false">COUNTIFS('📋 Suspens'!J:J,A6,'📋 Suspens'!H:H,"En attente")+COUNTIFS('📋 Suspens'!K:K,A6,'📋 Suspens'!H:H,"En attente")+COUNTIFS('📋 Suspens'!L:L,A6,'📋 Suspens'!H:H,"En attente")</f>
        <v>0</v>
      </c>
      <c r="F6" s="46" t="str">
        <f aca="false">IFERROR(AVERAGEIFS('📋 Suspens'!I:I,'📋 Suspens'!J:J,A6,'📋 Suspens'!H:H,"Cloture"),"")</f>
        <v/>
      </c>
      <c r="G6" s="47" t="n">
        <f aca="false">IFERROR(B6/SUM($B$5:$B$31),0)</f>
        <v>0</v>
      </c>
    </row>
    <row r="7" customFormat="false" ht="21.75" hidden="false" customHeight="true" outlineLevel="0" collapsed="false">
      <c r="A7" s="35" t="s">
        <v>67</v>
      </c>
      <c r="B7" s="42" t="n">
        <f aca="false">COUNTIF('📋 Suspens'!J:J,A7)+COUNTIF('📋 Suspens'!K:K,A7)+COUNTIF('📋 Suspens'!L:L,A7)</f>
        <v>0</v>
      </c>
      <c r="C7" s="37" t="n">
        <f aca="false">COUNTIFS('📋 Suspens'!J:J,A7,'📋 Suspens'!H:H,"En cours")+COUNTIFS('📋 Suspens'!K:K,A7,'📋 Suspens'!H:H,"En cours")+COUNTIFS('📋 Suspens'!L:L,A7,'📋 Suspens'!H:H,"En cours")</f>
        <v>0</v>
      </c>
      <c r="D7" s="37" t="n">
        <f aca="false">COUNTIFS('📋 Suspens'!J:J,A7,'📋 Suspens'!H:H,"Cloture")+COUNTIFS('📋 Suspens'!K:K,A7,'📋 Suspens'!H:H,"Cloture")+COUNTIFS('📋 Suspens'!L:L,A7,'📋 Suspens'!H:H,"Cloture")</f>
        <v>0</v>
      </c>
      <c r="E7" s="37" t="n">
        <f aca="false">COUNTIFS('📋 Suspens'!J:J,A7,'📋 Suspens'!H:H,"En attente")+COUNTIFS('📋 Suspens'!K:K,A7,'📋 Suspens'!H:H,"En attente")+COUNTIFS('📋 Suspens'!L:L,A7,'📋 Suspens'!H:H,"En attente")</f>
        <v>0</v>
      </c>
      <c r="F7" s="43" t="str">
        <f aca="false">IFERROR(AVERAGEIFS('📋 Suspens'!I:I,'📋 Suspens'!J:J,A7,'📋 Suspens'!H:H,"Cloture"),"")</f>
        <v/>
      </c>
      <c r="G7" s="44" t="n">
        <f aca="false">IFERROR(B7/SUM($B$5:$B$31),0)</f>
        <v>0</v>
      </c>
    </row>
    <row r="8" customFormat="false" ht="21.75" hidden="false" customHeight="true" outlineLevel="0" collapsed="false">
      <c r="A8" s="28" t="s">
        <v>68</v>
      </c>
      <c r="B8" s="45" t="n">
        <f aca="false">COUNTIF('📋 Suspens'!J:J,A8)+COUNTIF('📋 Suspens'!K:K,A8)+COUNTIF('📋 Suspens'!L:L,A8)</f>
        <v>0</v>
      </c>
      <c r="C8" s="30" t="n">
        <f aca="false">COUNTIFS('📋 Suspens'!J:J,A8,'📋 Suspens'!H:H,"En cours")+COUNTIFS('📋 Suspens'!K:K,A8,'📋 Suspens'!H:H,"En cours")+COUNTIFS('📋 Suspens'!L:L,A8,'📋 Suspens'!H:H,"En cours")</f>
        <v>0</v>
      </c>
      <c r="D8" s="30" t="n">
        <f aca="false">COUNTIFS('📋 Suspens'!J:J,A8,'📋 Suspens'!H:H,"Cloture")+COUNTIFS('📋 Suspens'!K:K,A8,'📋 Suspens'!H:H,"Cloture")+COUNTIFS('📋 Suspens'!L:L,A8,'📋 Suspens'!H:H,"Cloture")</f>
        <v>0</v>
      </c>
      <c r="E8" s="30" t="n">
        <f aca="false">COUNTIFS('📋 Suspens'!J:J,A8,'📋 Suspens'!H:H,"En attente")+COUNTIFS('📋 Suspens'!K:K,A8,'📋 Suspens'!H:H,"En attente")+COUNTIFS('📋 Suspens'!L:L,A8,'📋 Suspens'!H:H,"En attente")</f>
        <v>0</v>
      </c>
      <c r="F8" s="46" t="str">
        <f aca="false">IFERROR(AVERAGEIFS('📋 Suspens'!I:I,'📋 Suspens'!J:J,A8,'📋 Suspens'!H:H,"Cloture"),"")</f>
        <v/>
      </c>
      <c r="G8" s="47" t="n">
        <f aca="false">IFERROR(B8/SUM($B$5:$B$31),0)</f>
        <v>0</v>
      </c>
    </row>
    <row r="9" customFormat="false" ht="21.75" hidden="false" customHeight="true" outlineLevel="0" collapsed="false">
      <c r="A9" s="35" t="s">
        <v>69</v>
      </c>
      <c r="B9" s="42" t="n">
        <f aca="false">COUNTIF('📋 Suspens'!J:J,A9)+COUNTIF('📋 Suspens'!K:K,A9)+COUNTIF('📋 Suspens'!L:L,A9)</f>
        <v>0</v>
      </c>
      <c r="C9" s="37" t="n">
        <f aca="false">COUNTIFS('📋 Suspens'!J:J,A9,'📋 Suspens'!H:H,"En cours")+COUNTIFS('📋 Suspens'!K:K,A9,'📋 Suspens'!H:H,"En cours")+COUNTIFS('📋 Suspens'!L:L,A9,'📋 Suspens'!H:H,"En cours")</f>
        <v>0</v>
      </c>
      <c r="D9" s="37" t="n">
        <f aca="false">COUNTIFS('📋 Suspens'!J:J,A9,'📋 Suspens'!H:H,"Cloture")+COUNTIFS('📋 Suspens'!K:K,A9,'📋 Suspens'!H:H,"Cloture")+COUNTIFS('📋 Suspens'!L:L,A9,'📋 Suspens'!H:H,"Cloture")</f>
        <v>0</v>
      </c>
      <c r="E9" s="37" t="n">
        <f aca="false">COUNTIFS('📋 Suspens'!J:J,A9,'📋 Suspens'!H:H,"En attente")+COUNTIFS('📋 Suspens'!K:K,A9,'📋 Suspens'!H:H,"En attente")+COUNTIFS('📋 Suspens'!L:L,A9,'📋 Suspens'!H:H,"En attente")</f>
        <v>0</v>
      </c>
      <c r="F9" s="43" t="str">
        <f aca="false">IFERROR(AVERAGEIFS('📋 Suspens'!I:I,'📋 Suspens'!J:J,A9,'📋 Suspens'!H:H,"Cloture"),"")</f>
        <v/>
      </c>
      <c r="G9" s="44" t="n">
        <f aca="false">IFERROR(B9/SUM($B$5:$B$31),0)</f>
        <v>0</v>
      </c>
    </row>
    <row r="10" customFormat="false" ht="21.75" hidden="false" customHeight="true" outlineLevel="0" collapsed="false">
      <c r="A10" s="28" t="s">
        <v>70</v>
      </c>
      <c r="B10" s="45" t="n">
        <f aca="false">COUNTIF('📋 Suspens'!J:J,A10)+COUNTIF('📋 Suspens'!K:K,A10)+COUNTIF('📋 Suspens'!L:L,A10)</f>
        <v>0</v>
      </c>
      <c r="C10" s="30" t="n">
        <f aca="false">COUNTIFS('📋 Suspens'!J:J,A10,'📋 Suspens'!H:H,"En cours")+COUNTIFS('📋 Suspens'!K:K,A10,'📋 Suspens'!H:H,"En cours")+COUNTIFS('📋 Suspens'!L:L,A10,'📋 Suspens'!H:H,"En cours")</f>
        <v>0</v>
      </c>
      <c r="D10" s="30" t="n">
        <f aca="false">COUNTIFS('📋 Suspens'!J:J,A10,'📋 Suspens'!H:H,"Cloture")+COUNTIFS('📋 Suspens'!K:K,A10,'📋 Suspens'!H:H,"Cloture")+COUNTIFS('📋 Suspens'!L:L,A10,'📋 Suspens'!H:H,"Cloture")</f>
        <v>0</v>
      </c>
      <c r="E10" s="30" t="n">
        <f aca="false">COUNTIFS('📋 Suspens'!J:J,A10,'📋 Suspens'!H:H,"En attente")+COUNTIFS('📋 Suspens'!K:K,A10,'📋 Suspens'!H:H,"En attente")+COUNTIFS('📋 Suspens'!L:L,A10,'📋 Suspens'!H:H,"En attente")</f>
        <v>0</v>
      </c>
      <c r="F10" s="46" t="str">
        <f aca="false">IFERROR(AVERAGEIFS('📋 Suspens'!I:I,'📋 Suspens'!J:J,A10,'📋 Suspens'!H:H,"Cloture"),"")</f>
        <v/>
      </c>
      <c r="G10" s="47" t="n">
        <f aca="false">IFERROR(B10/SUM($B$5:$B$31),0)</f>
        <v>0</v>
      </c>
    </row>
    <row r="11" customFormat="false" ht="21.75" hidden="false" customHeight="true" outlineLevel="0" collapsed="false">
      <c r="A11" s="35" t="s">
        <v>71</v>
      </c>
      <c r="B11" s="42" t="n">
        <f aca="false">COUNTIF('📋 Suspens'!J:J,A11)+COUNTIF('📋 Suspens'!K:K,A11)+COUNTIF('📋 Suspens'!L:L,A11)</f>
        <v>0</v>
      </c>
      <c r="C11" s="37" t="n">
        <f aca="false">COUNTIFS('📋 Suspens'!J:J,A11,'📋 Suspens'!H:H,"En cours")+COUNTIFS('📋 Suspens'!K:K,A11,'📋 Suspens'!H:H,"En cours")+COUNTIFS('📋 Suspens'!L:L,A11,'📋 Suspens'!H:H,"En cours")</f>
        <v>0</v>
      </c>
      <c r="D11" s="37" t="n">
        <f aca="false">COUNTIFS('📋 Suspens'!J:J,A11,'📋 Suspens'!H:H,"Cloture")+COUNTIFS('📋 Suspens'!K:K,A11,'📋 Suspens'!H:H,"Cloture")+COUNTIFS('📋 Suspens'!L:L,A11,'📋 Suspens'!H:H,"Cloture")</f>
        <v>0</v>
      </c>
      <c r="E11" s="37" t="n">
        <f aca="false">COUNTIFS('📋 Suspens'!J:J,A11,'📋 Suspens'!H:H,"En attente")+COUNTIFS('📋 Suspens'!K:K,A11,'📋 Suspens'!H:H,"En attente")+COUNTIFS('📋 Suspens'!L:L,A11,'📋 Suspens'!H:H,"En attente")</f>
        <v>0</v>
      </c>
      <c r="F11" s="43" t="str">
        <f aca="false">IFERROR(AVERAGEIFS('📋 Suspens'!I:I,'📋 Suspens'!J:J,A11,'📋 Suspens'!H:H,"Cloture"),"")</f>
        <v/>
      </c>
      <c r="G11" s="44" t="n">
        <f aca="false">IFERROR(B11/SUM($B$5:$B$31),0)</f>
        <v>0</v>
      </c>
    </row>
    <row r="12" customFormat="false" ht="21.75" hidden="false" customHeight="true" outlineLevel="0" collapsed="false">
      <c r="A12" s="28" t="s">
        <v>72</v>
      </c>
      <c r="B12" s="45" t="n">
        <f aca="false">COUNTIF('📋 Suspens'!J:J,A12)+COUNTIF('📋 Suspens'!K:K,A12)+COUNTIF('📋 Suspens'!L:L,A12)</f>
        <v>0</v>
      </c>
      <c r="C12" s="30" t="n">
        <f aca="false">COUNTIFS('📋 Suspens'!J:J,A12,'📋 Suspens'!H:H,"En cours")+COUNTIFS('📋 Suspens'!K:K,A12,'📋 Suspens'!H:H,"En cours")+COUNTIFS('📋 Suspens'!L:L,A12,'📋 Suspens'!H:H,"En cours")</f>
        <v>0</v>
      </c>
      <c r="D12" s="30" t="n">
        <f aca="false">COUNTIFS('📋 Suspens'!J:J,A12,'📋 Suspens'!H:H,"Cloture")+COUNTIFS('📋 Suspens'!K:K,A12,'📋 Suspens'!H:H,"Cloture")+COUNTIFS('📋 Suspens'!L:L,A12,'📋 Suspens'!H:H,"Cloture")</f>
        <v>0</v>
      </c>
      <c r="E12" s="30" t="n">
        <f aca="false">COUNTIFS('📋 Suspens'!J:J,A12,'📋 Suspens'!H:H,"En attente")+COUNTIFS('📋 Suspens'!K:K,A12,'📋 Suspens'!H:H,"En attente")+COUNTIFS('📋 Suspens'!L:L,A12,'📋 Suspens'!H:H,"En attente")</f>
        <v>0</v>
      </c>
      <c r="F12" s="46" t="str">
        <f aca="false">IFERROR(AVERAGEIFS('📋 Suspens'!I:I,'📋 Suspens'!J:J,A12,'📋 Suspens'!H:H,"Cloture"),"")</f>
        <v/>
      </c>
      <c r="G12" s="47" t="n">
        <f aca="false">IFERROR(B12/SUM($B$5:$B$31),0)</f>
        <v>0</v>
      </c>
    </row>
    <row r="13" customFormat="false" ht="21.75" hidden="false" customHeight="true" outlineLevel="0" collapsed="false">
      <c r="A13" s="35" t="s">
        <v>73</v>
      </c>
      <c r="B13" s="42" t="n">
        <f aca="false">COUNTIF('📋 Suspens'!J:J,A13)+COUNTIF('📋 Suspens'!K:K,A13)+COUNTIF('📋 Suspens'!L:L,A13)</f>
        <v>0</v>
      </c>
      <c r="C13" s="37" t="n">
        <f aca="false">COUNTIFS('📋 Suspens'!J:J,A13,'📋 Suspens'!H:H,"En cours")+COUNTIFS('📋 Suspens'!K:K,A13,'📋 Suspens'!H:H,"En cours")+COUNTIFS('📋 Suspens'!L:L,A13,'📋 Suspens'!H:H,"En cours")</f>
        <v>0</v>
      </c>
      <c r="D13" s="37" t="n">
        <f aca="false">COUNTIFS('📋 Suspens'!J:J,A13,'📋 Suspens'!H:H,"Cloture")+COUNTIFS('📋 Suspens'!K:K,A13,'📋 Suspens'!H:H,"Cloture")+COUNTIFS('📋 Suspens'!L:L,A13,'📋 Suspens'!H:H,"Cloture")</f>
        <v>0</v>
      </c>
      <c r="E13" s="37" t="n">
        <f aca="false">COUNTIFS('📋 Suspens'!J:J,A13,'📋 Suspens'!H:H,"En attente")+COUNTIFS('📋 Suspens'!K:K,A13,'📋 Suspens'!H:H,"En attente")+COUNTIFS('📋 Suspens'!L:L,A13,'📋 Suspens'!H:H,"En attente")</f>
        <v>0</v>
      </c>
      <c r="F13" s="43" t="str">
        <f aca="false">IFERROR(AVERAGEIFS('📋 Suspens'!I:I,'📋 Suspens'!J:J,A13,'📋 Suspens'!H:H,"Cloture"),"")</f>
        <v/>
      </c>
      <c r="G13" s="44" t="n">
        <f aca="false">IFERROR(B13/SUM($B$5:$B$31),0)</f>
        <v>0</v>
      </c>
    </row>
    <row r="14" customFormat="false" ht="21.75" hidden="false" customHeight="true" outlineLevel="0" collapsed="false">
      <c r="A14" s="28" t="s">
        <v>74</v>
      </c>
      <c r="B14" s="45" t="n">
        <f aca="false">COUNTIF('📋 Suspens'!J:J,A14)+COUNTIF('📋 Suspens'!K:K,A14)+COUNTIF('📋 Suspens'!L:L,A14)</f>
        <v>0</v>
      </c>
      <c r="C14" s="30" t="n">
        <f aca="false">COUNTIFS('📋 Suspens'!J:J,A14,'📋 Suspens'!H:H,"En cours")+COUNTIFS('📋 Suspens'!K:K,A14,'📋 Suspens'!H:H,"En cours")+COUNTIFS('📋 Suspens'!L:L,A14,'📋 Suspens'!H:H,"En cours")</f>
        <v>0</v>
      </c>
      <c r="D14" s="30" t="n">
        <f aca="false">COUNTIFS('📋 Suspens'!J:J,A14,'📋 Suspens'!H:H,"Cloture")+COUNTIFS('📋 Suspens'!K:K,A14,'📋 Suspens'!H:H,"Cloture")+COUNTIFS('📋 Suspens'!L:L,A14,'📋 Suspens'!H:H,"Cloture")</f>
        <v>0</v>
      </c>
      <c r="E14" s="30" t="n">
        <f aca="false">COUNTIFS('📋 Suspens'!J:J,A14,'📋 Suspens'!H:H,"En attente")+COUNTIFS('📋 Suspens'!K:K,A14,'📋 Suspens'!H:H,"En attente")+COUNTIFS('📋 Suspens'!L:L,A14,'📋 Suspens'!H:H,"En attente")</f>
        <v>0</v>
      </c>
      <c r="F14" s="46" t="str">
        <f aca="false">IFERROR(AVERAGEIFS('📋 Suspens'!I:I,'📋 Suspens'!J:J,A14,'📋 Suspens'!H:H,"Cloture"),"")</f>
        <v/>
      </c>
      <c r="G14" s="47" t="n">
        <f aca="false">IFERROR(B14/SUM($B$5:$B$31),0)</f>
        <v>0</v>
      </c>
    </row>
    <row r="15" customFormat="false" ht="21.75" hidden="false" customHeight="true" outlineLevel="0" collapsed="false">
      <c r="A15" s="35" t="s">
        <v>75</v>
      </c>
      <c r="B15" s="42" t="n">
        <f aca="false">COUNTIF('📋 Suspens'!J:J,A15)+COUNTIF('📋 Suspens'!K:K,A15)+COUNTIF('📋 Suspens'!L:L,A15)</f>
        <v>0</v>
      </c>
      <c r="C15" s="37" t="n">
        <f aca="false">COUNTIFS('📋 Suspens'!J:J,A15,'📋 Suspens'!H:H,"En cours")+COUNTIFS('📋 Suspens'!K:K,A15,'📋 Suspens'!H:H,"En cours")+COUNTIFS('📋 Suspens'!L:L,A15,'📋 Suspens'!H:H,"En cours")</f>
        <v>0</v>
      </c>
      <c r="D15" s="37" t="n">
        <f aca="false">COUNTIFS('📋 Suspens'!J:J,A15,'📋 Suspens'!H:H,"Cloture")+COUNTIFS('📋 Suspens'!K:K,A15,'📋 Suspens'!H:H,"Cloture")+COUNTIFS('📋 Suspens'!L:L,A15,'📋 Suspens'!H:H,"Cloture")</f>
        <v>0</v>
      </c>
      <c r="E15" s="37" t="n">
        <f aca="false">COUNTIFS('📋 Suspens'!J:J,A15,'📋 Suspens'!H:H,"En attente")+COUNTIFS('📋 Suspens'!K:K,A15,'📋 Suspens'!H:H,"En attente")+COUNTIFS('📋 Suspens'!L:L,A15,'📋 Suspens'!H:H,"En attente")</f>
        <v>0</v>
      </c>
      <c r="F15" s="43" t="str">
        <f aca="false">IFERROR(AVERAGEIFS('📋 Suspens'!I:I,'📋 Suspens'!J:J,A15,'📋 Suspens'!H:H,"Cloture"),"")</f>
        <v/>
      </c>
      <c r="G15" s="44" t="n">
        <f aca="false">IFERROR(B15/SUM($B$5:$B$31),0)</f>
        <v>0</v>
      </c>
    </row>
    <row r="16" customFormat="false" ht="21.75" hidden="false" customHeight="true" outlineLevel="0" collapsed="false">
      <c r="A16" s="28" t="s">
        <v>76</v>
      </c>
      <c r="B16" s="45" t="n">
        <f aca="false">COUNTIF('📋 Suspens'!J:J,A16)+COUNTIF('📋 Suspens'!K:K,A16)+COUNTIF('📋 Suspens'!L:L,A16)</f>
        <v>0</v>
      </c>
      <c r="C16" s="30" t="n">
        <f aca="false">COUNTIFS('📋 Suspens'!J:J,A16,'📋 Suspens'!H:H,"En cours")+COUNTIFS('📋 Suspens'!K:K,A16,'📋 Suspens'!H:H,"En cours")+COUNTIFS('📋 Suspens'!L:L,A16,'📋 Suspens'!H:H,"En cours")</f>
        <v>0</v>
      </c>
      <c r="D16" s="30" t="n">
        <f aca="false">COUNTIFS('📋 Suspens'!J:J,A16,'📋 Suspens'!H:H,"Cloture")+COUNTIFS('📋 Suspens'!K:K,A16,'📋 Suspens'!H:H,"Cloture")+COUNTIFS('📋 Suspens'!L:L,A16,'📋 Suspens'!H:H,"Cloture")</f>
        <v>0</v>
      </c>
      <c r="E16" s="30" t="n">
        <f aca="false">COUNTIFS('📋 Suspens'!J:J,A16,'📋 Suspens'!H:H,"En attente")+COUNTIFS('📋 Suspens'!K:K,A16,'📋 Suspens'!H:H,"En attente")+COUNTIFS('📋 Suspens'!L:L,A16,'📋 Suspens'!H:H,"En attente")</f>
        <v>0</v>
      </c>
      <c r="F16" s="46" t="str">
        <f aca="false">IFERROR(AVERAGEIFS('📋 Suspens'!I:I,'📋 Suspens'!J:J,A16,'📋 Suspens'!H:H,"Cloture"),"")</f>
        <v/>
      </c>
      <c r="G16" s="47" t="n">
        <f aca="false">IFERROR(B16/SUM($B$5:$B$31),0)</f>
        <v>0</v>
      </c>
    </row>
    <row r="17" customFormat="false" ht="21.75" hidden="false" customHeight="true" outlineLevel="0" collapsed="false">
      <c r="A17" s="35" t="s">
        <v>77</v>
      </c>
      <c r="B17" s="42" t="n">
        <f aca="false">COUNTIF('📋 Suspens'!J:J,A17)+COUNTIF('📋 Suspens'!K:K,A17)+COUNTIF('📋 Suspens'!L:L,A17)</f>
        <v>0</v>
      </c>
      <c r="C17" s="37" t="n">
        <f aca="false">COUNTIFS('📋 Suspens'!J:J,A17,'📋 Suspens'!H:H,"En cours")+COUNTIFS('📋 Suspens'!K:K,A17,'📋 Suspens'!H:H,"En cours")+COUNTIFS('📋 Suspens'!L:L,A17,'📋 Suspens'!H:H,"En cours")</f>
        <v>0</v>
      </c>
      <c r="D17" s="37" t="n">
        <f aca="false">COUNTIFS('📋 Suspens'!J:J,A17,'📋 Suspens'!H:H,"Cloture")+COUNTIFS('📋 Suspens'!K:K,A17,'📋 Suspens'!H:H,"Cloture")+COUNTIFS('📋 Suspens'!L:L,A17,'📋 Suspens'!H:H,"Cloture")</f>
        <v>0</v>
      </c>
      <c r="E17" s="37" t="n">
        <f aca="false">COUNTIFS('📋 Suspens'!J:J,A17,'📋 Suspens'!H:H,"En attente")+COUNTIFS('📋 Suspens'!K:K,A17,'📋 Suspens'!H:H,"En attente")+COUNTIFS('📋 Suspens'!L:L,A17,'📋 Suspens'!H:H,"En attente")</f>
        <v>0</v>
      </c>
      <c r="F17" s="43" t="str">
        <f aca="false">IFERROR(AVERAGEIFS('📋 Suspens'!I:I,'📋 Suspens'!J:J,A17,'📋 Suspens'!H:H,"Cloture"),"")</f>
        <v/>
      </c>
      <c r="G17" s="44" t="n">
        <f aca="false">IFERROR(B17/SUM($B$5:$B$31),0)</f>
        <v>0</v>
      </c>
    </row>
    <row r="18" customFormat="false" ht="21.75" hidden="false" customHeight="true" outlineLevel="0" collapsed="false">
      <c r="A18" s="28" t="s">
        <v>78</v>
      </c>
      <c r="B18" s="45" t="n">
        <f aca="false">COUNTIF('📋 Suspens'!J:J,A18)+COUNTIF('📋 Suspens'!K:K,A18)+COUNTIF('📋 Suspens'!L:L,A18)</f>
        <v>0</v>
      </c>
      <c r="C18" s="30" t="n">
        <f aca="false">COUNTIFS('📋 Suspens'!J:J,A18,'📋 Suspens'!H:H,"En cours")+COUNTIFS('📋 Suspens'!K:K,A18,'📋 Suspens'!H:H,"En cours")+COUNTIFS('📋 Suspens'!L:L,A18,'📋 Suspens'!H:H,"En cours")</f>
        <v>0</v>
      </c>
      <c r="D18" s="30" t="n">
        <f aca="false">COUNTIFS('📋 Suspens'!J:J,A18,'📋 Suspens'!H:H,"Cloture")+COUNTIFS('📋 Suspens'!K:K,A18,'📋 Suspens'!H:H,"Cloture")+COUNTIFS('📋 Suspens'!L:L,A18,'📋 Suspens'!H:H,"Cloture")</f>
        <v>0</v>
      </c>
      <c r="E18" s="30" t="n">
        <f aca="false">COUNTIFS('📋 Suspens'!J:J,A18,'📋 Suspens'!H:H,"En attente")+COUNTIFS('📋 Suspens'!K:K,A18,'📋 Suspens'!H:H,"En attente")+COUNTIFS('📋 Suspens'!L:L,A18,'📋 Suspens'!H:H,"En attente")</f>
        <v>0</v>
      </c>
      <c r="F18" s="46" t="str">
        <f aca="false">IFERROR(AVERAGEIFS('📋 Suspens'!I:I,'📋 Suspens'!J:J,A18,'📋 Suspens'!H:H,"Cloture"),"")</f>
        <v/>
      </c>
      <c r="G18" s="47" t="n">
        <f aca="false">IFERROR(B18/SUM($B$5:$B$31),0)</f>
        <v>0</v>
      </c>
    </row>
    <row r="19" customFormat="false" ht="21.75" hidden="false" customHeight="true" outlineLevel="0" collapsed="false">
      <c r="A19" s="35" t="s">
        <v>79</v>
      </c>
      <c r="B19" s="42" t="n">
        <f aca="false">COUNTIF('📋 Suspens'!J:J,A19)+COUNTIF('📋 Suspens'!K:K,A19)+COUNTIF('📋 Suspens'!L:L,A19)</f>
        <v>0</v>
      </c>
      <c r="C19" s="37" t="n">
        <f aca="false">COUNTIFS('📋 Suspens'!J:J,A19,'📋 Suspens'!H:H,"En cours")+COUNTIFS('📋 Suspens'!K:K,A19,'📋 Suspens'!H:H,"En cours")+COUNTIFS('📋 Suspens'!L:L,A19,'📋 Suspens'!H:H,"En cours")</f>
        <v>0</v>
      </c>
      <c r="D19" s="37" t="n">
        <f aca="false">COUNTIFS('📋 Suspens'!J:J,A19,'📋 Suspens'!H:H,"Cloture")+COUNTIFS('📋 Suspens'!K:K,A19,'📋 Suspens'!H:H,"Cloture")+COUNTIFS('📋 Suspens'!L:L,A19,'📋 Suspens'!H:H,"Cloture")</f>
        <v>0</v>
      </c>
      <c r="E19" s="37" t="n">
        <f aca="false">COUNTIFS('📋 Suspens'!J:J,A19,'📋 Suspens'!H:H,"En attente")+COUNTIFS('📋 Suspens'!K:K,A19,'📋 Suspens'!H:H,"En attente")+COUNTIFS('📋 Suspens'!L:L,A19,'📋 Suspens'!H:H,"En attente")</f>
        <v>0</v>
      </c>
      <c r="F19" s="43" t="str">
        <f aca="false">IFERROR(AVERAGEIFS('📋 Suspens'!I:I,'📋 Suspens'!J:J,A19,'📋 Suspens'!H:H,"Cloture"),"")</f>
        <v/>
      </c>
      <c r="G19" s="44" t="n">
        <f aca="false">IFERROR(B19/SUM($B$5:$B$31),0)</f>
        <v>0</v>
      </c>
    </row>
    <row r="20" customFormat="false" ht="21.75" hidden="false" customHeight="true" outlineLevel="0" collapsed="false">
      <c r="A20" s="28" t="s">
        <v>80</v>
      </c>
      <c r="B20" s="45" t="n">
        <f aca="false">COUNTIF('📋 Suspens'!J:J,A20)+COUNTIF('📋 Suspens'!K:K,A20)+COUNTIF('📋 Suspens'!L:L,A20)</f>
        <v>0</v>
      </c>
      <c r="C20" s="30" t="n">
        <f aca="false">COUNTIFS('📋 Suspens'!J:J,A20,'📋 Suspens'!H:H,"En cours")+COUNTIFS('📋 Suspens'!K:K,A20,'📋 Suspens'!H:H,"En cours")+COUNTIFS('📋 Suspens'!L:L,A20,'📋 Suspens'!H:H,"En cours")</f>
        <v>0</v>
      </c>
      <c r="D20" s="30" t="n">
        <f aca="false">COUNTIFS('📋 Suspens'!J:J,A20,'📋 Suspens'!H:H,"Cloture")+COUNTIFS('📋 Suspens'!K:K,A20,'📋 Suspens'!H:H,"Cloture")+COUNTIFS('📋 Suspens'!L:L,A20,'📋 Suspens'!H:H,"Cloture")</f>
        <v>0</v>
      </c>
      <c r="E20" s="30" t="n">
        <f aca="false">COUNTIFS('📋 Suspens'!J:J,A20,'📋 Suspens'!H:H,"En attente")+COUNTIFS('📋 Suspens'!K:K,A20,'📋 Suspens'!H:H,"En attente")+COUNTIFS('📋 Suspens'!L:L,A20,'📋 Suspens'!H:H,"En attente")</f>
        <v>0</v>
      </c>
      <c r="F20" s="46" t="str">
        <f aca="false">IFERROR(AVERAGEIFS('📋 Suspens'!I:I,'📋 Suspens'!J:J,A20,'📋 Suspens'!H:H,"Cloture"),"")</f>
        <v/>
      </c>
      <c r="G20" s="47" t="n">
        <f aca="false">IFERROR(B20/SUM($B$5:$B$31),0)</f>
        <v>0</v>
      </c>
    </row>
    <row r="21" customFormat="false" ht="21.75" hidden="false" customHeight="true" outlineLevel="0" collapsed="false">
      <c r="A21" s="35" t="s">
        <v>81</v>
      </c>
      <c r="B21" s="42" t="n">
        <f aca="false">COUNTIF('📋 Suspens'!J:J,A21)+COUNTIF('📋 Suspens'!K:K,A21)+COUNTIF('📋 Suspens'!L:L,A21)</f>
        <v>0</v>
      </c>
      <c r="C21" s="37" t="n">
        <f aca="false">COUNTIFS('📋 Suspens'!J:J,A21,'📋 Suspens'!H:H,"En cours")+COUNTIFS('📋 Suspens'!K:K,A21,'📋 Suspens'!H:H,"En cours")+COUNTIFS('📋 Suspens'!L:L,A21,'📋 Suspens'!H:H,"En cours")</f>
        <v>0</v>
      </c>
      <c r="D21" s="37" t="n">
        <f aca="false">COUNTIFS('📋 Suspens'!J:J,A21,'📋 Suspens'!H:H,"Cloture")+COUNTIFS('📋 Suspens'!K:K,A21,'📋 Suspens'!H:H,"Cloture")+COUNTIFS('📋 Suspens'!L:L,A21,'📋 Suspens'!H:H,"Cloture")</f>
        <v>0</v>
      </c>
      <c r="E21" s="37" t="n">
        <f aca="false">COUNTIFS('📋 Suspens'!J:J,A21,'📋 Suspens'!H:H,"En attente")+COUNTIFS('📋 Suspens'!K:K,A21,'📋 Suspens'!H:H,"En attente")+COUNTIFS('📋 Suspens'!L:L,A21,'📋 Suspens'!H:H,"En attente")</f>
        <v>0</v>
      </c>
      <c r="F21" s="43" t="str">
        <f aca="false">IFERROR(AVERAGEIFS('📋 Suspens'!I:I,'📋 Suspens'!J:J,A21,'📋 Suspens'!H:H,"Cloture"),"")</f>
        <v/>
      </c>
      <c r="G21" s="44" t="n">
        <f aca="false">IFERROR(B21/SUM($B$5:$B$31),0)</f>
        <v>0</v>
      </c>
    </row>
    <row r="22" customFormat="false" ht="21.75" hidden="false" customHeight="true" outlineLevel="0" collapsed="false">
      <c r="A22" s="28" t="s">
        <v>82</v>
      </c>
      <c r="B22" s="45" t="n">
        <f aca="false">COUNTIF('📋 Suspens'!J:J,A22)+COUNTIF('📋 Suspens'!K:K,A22)+COUNTIF('📋 Suspens'!L:L,A22)</f>
        <v>0</v>
      </c>
      <c r="C22" s="30" t="n">
        <f aca="false">COUNTIFS('📋 Suspens'!J:J,A22,'📋 Suspens'!H:H,"En cours")+COUNTIFS('📋 Suspens'!K:K,A22,'📋 Suspens'!H:H,"En cours")+COUNTIFS('📋 Suspens'!L:L,A22,'📋 Suspens'!H:H,"En cours")</f>
        <v>0</v>
      </c>
      <c r="D22" s="30" t="n">
        <f aca="false">COUNTIFS('📋 Suspens'!J:J,A22,'📋 Suspens'!H:H,"Cloture")+COUNTIFS('📋 Suspens'!K:K,A22,'📋 Suspens'!H:H,"Cloture")+COUNTIFS('📋 Suspens'!L:L,A22,'📋 Suspens'!H:H,"Cloture")</f>
        <v>0</v>
      </c>
      <c r="E22" s="30" t="n">
        <f aca="false">COUNTIFS('📋 Suspens'!J:J,A22,'📋 Suspens'!H:H,"En attente")+COUNTIFS('📋 Suspens'!K:K,A22,'📋 Suspens'!H:H,"En attente")+COUNTIFS('📋 Suspens'!L:L,A22,'📋 Suspens'!H:H,"En attente")</f>
        <v>0</v>
      </c>
      <c r="F22" s="46" t="str">
        <f aca="false">IFERROR(AVERAGEIFS('📋 Suspens'!I:I,'📋 Suspens'!J:J,A22,'📋 Suspens'!H:H,"Cloture"),"")</f>
        <v/>
      </c>
      <c r="G22" s="47" t="n">
        <f aca="false">IFERROR(B22/SUM($B$5:$B$31),0)</f>
        <v>0</v>
      </c>
    </row>
    <row r="23" customFormat="false" ht="21.75" hidden="false" customHeight="true" outlineLevel="0" collapsed="false">
      <c r="A23" s="35" t="s">
        <v>83</v>
      </c>
      <c r="B23" s="42" t="n">
        <f aca="false">COUNTIF('📋 Suspens'!J:J,A23)+COUNTIF('📋 Suspens'!K:K,A23)+COUNTIF('📋 Suspens'!L:L,A23)</f>
        <v>0</v>
      </c>
      <c r="C23" s="37" t="n">
        <f aca="false">COUNTIFS('📋 Suspens'!J:J,A23,'📋 Suspens'!H:H,"En cours")+COUNTIFS('📋 Suspens'!K:K,A23,'📋 Suspens'!H:H,"En cours")+COUNTIFS('📋 Suspens'!L:L,A23,'📋 Suspens'!H:H,"En cours")</f>
        <v>0</v>
      </c>
      <c r="D23" s="37" t="n">
        <f aca="false">COUNTIFS('📋 Suspens'!J:J,A23,'📋 Suspens'!H:H,"Cloture")+COUNTIFS('📋 Suspens'!K:K,A23,'📋 Suspens'!H:H,"Cloture")+COUNTIFS('📋 Suspens'!L:L,A23,'📋 Suspens'!H:H,"Cloture")</f>
        <v>0</v>
      </c>
      <c r="E23" s="37" t="n">
        <f aca="false">COUNTIFS('📋 Suspens'!J:J,A23,'📋 Suspens'!H:H,"En attente")+COUNTIFS('📋 Suspens'!K:K,A23,'📋 Suspens'!H:H,"En attente")+COUNTIFS('📋 Suspens'!L:L,A23,'📋 Suspens'!H:H,"En attente")</f>
        <v>0</v>
      </c>
      <c r="F23" s="43" t="str">
        <f aca="false">IFERROR(AVERAGEIFS('📋 Suspens'!I:I,'📋 Suspens'!J:J,A23,'📋 Suspens'!H:H,"Cloture"),"")</f>
        <v/>
      </c>
      <c r="G23" s="44" t="n">
        <f aca="false">IFERROR(B23/SUM($B$5:$B$31),0)</f>
        <v>0</v>
      </c>
    </row>
    <row r="24" customFormat="false" ht="21.75" hidden="false" customHeight="true" outlineLevel="0" collapsed="false">
      <c r="A24" s="28" t="s">
        <v>84</v>
      </c>
      <c r="B24" s="45" t="n">
        <f aca="false">COUNTIF('📋 Suspens'!J:J,A24)+COUNTIF('📋 Suspens'!K:K,A24)+COUNTIF('📋 Suspens'!L:L,A24)</f>
        <v>0</v>
      </c>
      <c r="C24" s="30" t="n">
        <f aca="false">COUNTIFS('📋 Suspens'!J:J,A24,'📋 Suspens'!H:H,"En cours")+COUNTIFS('📋 Suspens'!K:K,A24,'📋 Suspens'!H:H,"En cours")+COUNTIFS('📋 Suspens'!L:L,A24,'📋 Suspens'!H:H,"En cours")</f>
        <v>0</v>
      </c>
      <c r="D24" s="30" t="n">
        <f aca="false">COUNTIFS('📋 Suspens'!J:J,A24,'📋 Suspens'!H:H,"Cloture")+COUNTIFS('📋 Suspens'!K:K,A24,'📋 Suspens'!H:H,"Cloture")+COUNTIFS('📋 Suspens'!L:L,A24,'📋 Suspens'!H:H,"Cloture")</f>
        <v>0</v>
      </c>
      <c r="E24" s="30" t="n">
        <f aca="false">COUNTIFS('📋 Suspens'!J:J,A24,'📋 Suspens'!H:H,"En attente")+COUNTIFS('📋 Suspens'!K:K,A24,'📋 Suspens'!H:H,"En attente")+COUNTIFS('📋 Suspens'!L:L,A24,'📋 Suspens'!H:H,"En attente")</f>
        <v>0</v>
      </c>
      <c r="F24" s="46" t="str">
        <f aca="false">IFERROR(AVERAGEIFS('📋 Suspens'!I:I,'📋 Suspens'!J:J,A24,'📋 Suspens'!H:H,"Cloture"),"")</f>
        <v/>
      </c>
      <c r="G24" s="47" t="n">
        <f aca="false">IFERROR(B24/SUM($B$5:$B$31),0)</f>
        <v>0</v>
      </c>
    </row>
    <row r="25" customFormat="false" ht="21.75" hidden="false" customHeight="true" outlineLevel="0" collapsed="false">
      <c r="A25" s="35" t="s">
        <v>85</v>
      </c>
      <c r="B25" s="42" t="n">
        <f aca="false">COUNTIF('📋 Suspens'!J:J,A25)+COUNTIF('📋 Suspens'!K:K,A25)+COUNTIF('📋 Suspens'!L:L,A25)</f>
        <v>0</v>
      </c>
      <c r="C25" s="37" t="n">
        <f aca="false">COUNTIFS('📋 Suspens'!J:J,A25,'📋 Suspens'!H:H,"En cours")+COUNTIFS('📋 Suspens'!K:K,A25,'📋 Suspens'!H:H,"En cours")+COUNTIFS('📋 Suspens'!L:L,A25,'📋 Suspens'!H:H,"En cours")</f>
        <v>0</v>
      </c>
      <c r="D25" s="37" t="n">
        <f aca="false">COUNTIFS('📋 Suspens'!J:J,A25,'📋 Suspens'!H:H,"Cloture")+COUNTIFS('📋 Suspens'!K:K,A25,'📋 Suspens'!H:H,"Cloture")+COUNTIFS('📋 Suspens'!L:L,A25,'📋 Suspens'!H:H,"Cloture")</f>
        <v>0</v>
      </c>
      <c r="E25" s="37" t="n">
        <f aca="false">COUNTIFS('📋 Suspens'!J:J,A25,'📋 Suspens'!H:H,"En attente")+COUNTIFS('📋 Suspens'!K:K,A25,'📋 Suspens'!H:H,"En attente")+COUNTIFS('📋 Suspens'!L:L,A25,'📋 Suspens'!H:H,"En attente")</f>
        <v>0</v>
      </c>
      <c r="F25" s="43" t="str">
        <f aca="false">IFERROR(AVERAGEIFS('📋 Suspens'!I:I,'📋 Suspens'!J:J,A25,'📋 Suspens'!H:H,"Cloture"),"")</f>
        <v/>
      </c>
      <c r="G25" s="44" t="n">
        <f aca="false">IFERROR(B25/SUM($B$5:$B$31),0)</f>
        <v>0</v>
      </c>
    </row>
    <row r="26" customFormat="false" ht="21.75" hidden="false" customHeight="true" outlineLevel="0" collapsed="false">
      <c r="A26" s="28" t="s">
        <v>86</v>
      </c>
      <c r="B26" s="45" t="n">
        <f aca="false">COUNTIF('📋 Suspens'!J:J,A26)+COUNTIF('📋 Suspens'!K:K,A26)+COUNTIF('📋 Suspens'!L:L,A26)</f>
        <v>0</v>
      </c>
      <c r="C26" s="30" t="n">
        <f aca="false">COUNTIFS('📋 Suspens'!J:J,A26,'📋 Suspens'!H:H,"En cours")+COUNTIFS('📋 Suspens'!K:K,A26,'📋 Suspens'!H:H,"En cours")+COUNTIFS('📋 Suspens'!L:L,A26,'📋 Suspens'!H:H,"En cours")</f>
        <v>0</v>
      </c>
      <c r="D26" s="30" t="n">
        <f aca="false">COUNTIFS('📋 Suspens'!J:J,A26,'📋 Suspens'!H:H,"Cloture")+COUNTIFS('📋 Suspens'!K:K,A26,'📋 Suspens'!H:H,"Cloture")+COUNTIFS('📋 Suspens'!L:L,A26,'📋 Suspens'!H:H,"Cloture")</f>
        <v>0</v>
      </c>
      <c r="E26" s="30" t="n">
        <f aca="false">COUNTIFS('📋 Suspens'!J:J,A26,'📋 Suspens'!H:H,"En attente")+COUNTIFS('📋 Suspens'!K:K,A26,'📋 Suspens'!H:H,"En attente")+COUNTIFS('📋 Suspens'!L:L,A26,'📋 Suspens'!H:H,"En attente")</f>
        <v>0</v>
      </c>
      <c r="F26" s="46" t="str">
        <f aca="false">IFERROR(AVERAGEIFS('📋 Suspens'!I:I,'📋 Suspens'!J:J,A26,'📋 Suspens'!H:H,"Cloture"),"")</f>
        <v/>
      </c>
      <c r="G26" s="47" t="n">
        <f aca="false">IFERROR(B26/SUM($B$5:$B$31),0)</f>
        <v>0</v>
      </c>
    </row>
    <row r="27" customFormat="false" ht="21.75" hidden="false" customHeight="true" outlineLevel="0" collapsed="false">
      <c r="A27" s="35" t="s">
        <v>87</v>
      </c>
      <c r="B27" s="42" t="n">
        <f aca="false">COUNTIF('📋 Suspens'!J:J,A27)+COUNTIF('📋 Suspens'!K:K,A27)+COUNTIF('📋 Suspens'!L:L,A27)</f>
        <v>0</v>
      </c>
      <c r="C27" s="37" t="n">
        <f aca="false">COUNTIFS('📋 Suspens'!J:J,A27,'📋 Suspens'!H:H,"En cours")+COUNTIFS('📋 Suspens'!K:K,A27,'📋 Suspens'!H:H,"En cours")+COUNTIFS('📋 Suspens'!L:L,A27,'📋 Suspens'!H:H,"En cours")</f>
        <v>0</v>
      </c>
      <c r="D27" s="37" t="n">
        <f aca="false">COUNTIFS('📋 Suspens'!J:J,A27,'📋 Suspens'!H:H,"Cloture")+COUNTIFS('📋 Suspens'!K:K,A27,'📋 Suspens'!H:H,"Cloture")+COUNTIFS('📋 Suspens'!L:L,A27,'📋 Suspens'!H:H,"Cloture")</f>
        <v>0</v>
      </c>
      <c r="E27" s="37" t="n">
        <f aca="false">COUNTIFS('📋 Suspens'!J:J,A27,'📋 Suspens'!H:H,"En attente")+COUNTIFS('📋 Suspens'!K:K,A27,'📋 Suspens'!H:H,"En attente")+COUNTIFS('📋 Suspens'!L:L,A27,'📋 Suspens'!H:H,"En attente")</f>
        <v>0</v>
      </c>
      <c r="F27" s="43" t="str">
        <f aca="false">IFERROR(AVERAGEIFS('📋 Suspens'!I:I,'📋 Suspens'!J:J,A27,'📋 Suspens'!H:H,"Cloture"),"")</f>
        <v/>
      </c>
      <c r="G27" s="44" t="n">
        <f aca="false">IFERROR(B27/SUM($B$5:$B$31),0)</f>
        <v>0</v>
      </c>
    </row>
    <row r="28" customFormat="false" ht="21.75" hidden="false" customHeight="true" outlineLevel="0" collapsed="false">
      <c r="A28" s="28" t="s">
        <v>88</v>
      </c>
      <c r="B28" s="45" t="n">
        <f aca="false">COUNTIF('📋 Suspens'!J:J,A28)+COUNTIF('📋 Suspens'!K:K,A28)+COUNTIF('📋 Suspens'!L:L,A28)</f>
        <v>0</v>
      </c>
      <c r="C28" s="30" t="n">
        <f aca="false">COUNTIFS('📋 Suspens'!J:J,A28,'📋 Suspens'!H:H,"En cours")+COUNTIFS('📋 Suspens'!K:K,A28,'📋 Suspens'!H:H,"En cours")+COUNTIFS('📋 Suspens'!L:L,A28,'📋 Suspens'!H:H,"En cours")</f>
        <v>0</v>
      </c>
      <c r="D28" s="30" t="n">
        <f aca="false">COUNTIFS('📋 Suspens'!J:J,A28,'📋 Suspens'!H:H,"Cloture")+COUNTIFS('📋 Suspens'!K:K,A28,'📋 Suspens'!H:H,"Cloture")+COUNTIFS('📋 Suspens'!L:L,A28,'📋 Suspens'!H:H,"Cloture")</f>
        <v>0</v>
      </c>
      <c r="E28" s="30" t="n">
        <f aca="false">COUNTIFS('📋 Suspens'!J:J,A28,'📋 Suspens'!H:H,"En attente")+COUNTIFS('📋 Suspens'!K:K,A28,'📋 Suspens'!H:H,"En attente")+COUNTIFS('📋 Suspens'!L:L,A28,'📋 Suspens'!H:H,"En attente")</f>
        <v>0</v>
      </c>
      <c r="F28" s="46" t="str">
        <f aca="false">IFERROR(AVERAGEIFS('📋 Suspens'!I:I,'📋 Suspens'!J:J,A28,'📋 Suspens'!H:H,"Cloture"),"")</f>
        <v/>
      </c>
      <c r="G28" s="47" t="n">
        <f aca="false">IFERROR(B28/SUM($B$5:$B$31),0)</f>
        <v>0</v>
      </c>
    </row>
    <row r="29" customFormat="false" ht="21.75" hidden="false" customHeight="true" outlineLevel="0" collapsed="false">
      <c r="A29" s="35" t="s">
        <v>89</v>
      </c>
      <c r="B29" s="42" t="n">
        <f aca="false">COUNTIF('📋 Suspens'!J:J,A29)+COUNTIF('📋 Suspens'!K:K,A29)+COUNTIF('📋 Suspens'!L:L,A29)</f>
        <v>0</v>
      </c>
      <c r="C29" s="37" t="n">
        <f aca="false">COUNTIFS('📋 Suspens'!J:J,A29,'📋 Suspens'!H:H,"En cours")+COUNTIFS('📋 Suspens'!K:K,A29,'📋 Suspens'!H:H,"En cours")+COUNTIFS('📋 Suspens'!L:L,A29,'📋 Suspens'!H:H,"En cours")</f>
        <v>0</v>
      </c>
      <c r="D29" s="37" t="n">
        <f aca="false">COUNTIFS('📋 Suspens'!J:J,A29,'📋 Suspens'!H:H,"Cloture")+COUNTIFS('📋 Suspens'!K:K,A29,'📋 Suspens'!H:H,"Cloture")+COUNTIFS('📋 Suspens'!L:L,A29,'📋 Suspens'!H:H,"Cloture")</f>
        <v>0</v>
      </c>
      <c r="E29" s="37" t="n">
        <f aca="false">COUNTIFS('📋 Suspens'!J:J,A29,'📋 Suspens'!H:H,"En attente")+COUNTIFS('📋 Suspens'!K:K,A29,'📋 Suspens'!H:H,"En attente")+COUNTIFS('📋 Suspens'!L:L,A29,'📋 Suspens'!H:H,"En attente")</f>
        <v>0</v>
      </c>
      <c r="F29" s="43" t="str">
        <f aca="false">IFERROR(AVERAGEIFS('📋 Suspens'!I:I,'📋 Suspens'!J:J,A29,'📋 Suspens'!H:H,"Cloture"),"")</f>
        <v/>
      </c>
      <c r="G29" s="44" t="n">
        <f aca="false">IFERROR(B29/SUM($B$5:$B$31),0)</f>
        <v>0</v>
      </c>
    </row>
    <row r="30" customFormat="false" ht="21.75" hidden="false" customHeight="true" outlineLevel="0" collapsed="false">
      <c r="A30" s="28" t="s">
        <v>90</v>
      </c>
      <c r="B30" s="45" t="n">
        <f aca="false">COUNTIF('📋 Suspens'!J:J,A30)+COUNTIF('📋 Suspens'!K:K,A30)+COUNTIF('📋 Suspens'!L:L,A30)</f>
        <v>0</v>
      </c>
      <c r="C30" s="30" t="n">
        <f aca="false">COUNTIFS('📋 Suspens'!J:J,A30,'📋 Suspens'!H:H,"En cours")+COUNTIFS('📋 Suspens'!K:K,A30,'📋 Suspens'!H:H,"En cours")+COUNTIFS('📋 Suspens'!L:L,A30,'📋 Suspens'!H:H,"En cours")</f>
        <v>0</v>
      </c>
      <c r="D30" s="30" t="n">
        <f aca="false">COUNTIFS('📋 Suspens'!J:J,A30,'📋 Suspens'!H:H,"Cloture")+COUNTIFS('📋 Suspens'!K:K,A30,'📋 Suspens'!H:H,"Cloture")+COUNTIFS('📋 Suspens'!L:L,A30,'📋 Suspens'!H:H,"Cloture")</f>
        <v>0</v>
      </c>
      <c r="E30" s="30" t="n">
        <f aca="false">COUNTIFS('📋 Suspens'!J:J,A30,'📋 Suspens'!H:H,"En attente")+COUNTIFS('📋 Suspens'!K:K,A30,'📋 Suspens'!H:H,"En attente")+COUNTIFS('📋 Suspens'!L:L,A30,'📋 Suspens'!H:H,"En attente")</f>
        <v>0</v>
      </c>
      <c r="F30" s="46" t="str">
        <f aca="false">IFERROR(AVERAGEIFS('📋 Suspens'!I:I,'📋 Suspens'!J:J,A30,'📋 Suspens'!H:H,"Cloture"),"")</f>
        <v/>
      </c>
      <c r="G30" s="47" t="n">
        <f aca="false">IFERROR(B30/SUM($B$5:$B$31),0)</f>
        <v>0</v>
      </c>
    </row>
    <row r="31" customFormat="false" ht="21.75" hidden="false" customHeight="true" outlineLevel="0" collapsed="false">
      <c r="A31" s="35" t="s">
        <v>91</v>
      </c>
      <c r="B31" s="42" t="n">
        <f aca="false">COUNTIF('📋 Suspens'!J:J,A31)+COUNTIF('📋 Suspens'!K:K,A31)+COUNTIF('📋 Suspens'!L:L,A31)</f>
        <v>0</v>
      </c>
      <c r="C31" s="37" t="n">
        <f aca="false">COUNTIFS('📋 Suspens'!J:J,A31,'📋 Suspens'!H:H,"En cours")+COUNTIFS('📋 Suspens'!K:K,A31,'📋 Suspens'!H:H,"En cours")+COUNTIFS('📋 Suspens'!L:L,A31,'📋 Suspens'!H:H,"En cours")</f>
        <v>0</v>
      </c>
      <c r="D31" s="37" t="n">
        <f aca="false">COUNTIFS('📋 Suspens'!J:J,A31,'📋 Suspens'!H:H,"Cloture")+COUNTIFS('📋 Suspens'!K:K,A31,'📋 Suspens'!H:H,"Cloture")+COUNTIFS('📋 Suspens'!L:L,A31,'📋 Suspens'!H:H,"Cloture")</f>
        <v>0</v>
      </c>
      <c r="E31" s="37" t="n">
        <f aca="false">COUNTIFS('📋 Suspens'!J:J,A31,'📋 Suspens'!H:H,"En attente")+COUNTIFS('📋 Suspens'!K:K,A31,'📋 Suspens'!H:H,"En attente")+COUNTIFS('📋 Suspens'!L:L,A31,'📋 Suspens'!H:H,"En attente")</f>
        <v>0</v>
      </c>
      <c r="F31" s="43" t="str">
        <f aca="false">IFERROR(AVERAGEIFS('📋 Suspens'!I:I,'📋 Suspens'!J:J,A31,'📋 Suspens'!H:H,"Cloture"),"")</f>
        <v/>
      </c>
      <c r="G31" s="44" t="n">
        <f aca="false">IFERROR(B31/SUM($B$5:$B$31),0)</f>
        <v>0</v>
      </c>
    </row>
    <row r="32" customFormat="false" ht="24.75" hidden="false" customHeight="true" outlineLevel="0" collapsed="false">
      <c r="A32" s="48" t="s">
        <v>59</v>
      </c>
      <c r="B32" s="48" t="n">
        <f aca="false">SUM(B5:B31)</f>
        <v>0</v>
      </c>
      <c r="C32" s="48" t="n">
        <f aca="false">SUM(C5:C31)</f>
        <v>0</v>
      </c>
      <c r="D32" s="48" t="n">
        <f aca="false">SUM(D5:D31)</f>
        <v>0</v>
      </c>
      <c r="E32" s="48" t="n">
        <f aca="false">SUM(E5:E31)</f>
        <v>0</v>
      </c>
    </row>
    <row r="33" customFormat="false" ht="7.5" hidden="false" customHeight="true" outlineLevel="0" collapsed="false"/>
    <row r="34" customFormat="false" ht="24.75" hidden="false" customHeight="true" outlineLevel="0" collapsed="false">
      <c r="A34" s="40" t="s">
        <v>92</v>
      </c>
      <c r="B34" s="40"/>
      <c r="C34" s="40"/>
      <c r="D34" s="40"/>
      <c r="E34" s="40"/>
      <c r="F34" s="40"/>
      <c r="G34" s="40"/>
    </row>
    <row r="35" customFormat="false" ht="21.75" hidden="false" customHeight="true" outlineLevel="0" collapsed="false">
      <c r="A35" s="41" t="s">
        <v>21</v>
      </c>
      <c r="B35" s="41" t="s">
        <v>60</v>
      </c>
      <c r="C35" s="41" t="s">
        <v>61</v>
      </c>
      <c r="D35" s="41" t="s">
        <v>62</v>
      </c>
      <c r="E35" s="41" t="s">
        <v>59</v>
      </c>
      <c r="F35" s="41" t="s">
        <v>63</v>
      </c>
      <c r="G35" s="41" t="s">
        <v>93</v>
      </c>
    </row>
    <row r="36" customFormat="false" ht="21.75" hidden="false" customHeight="true" outlineLevel="0" collapsed="false">
      <c r="A36" s="35" t="str">
        <f aca="false">IF('⚙️ Parametres'!C2&lt;&gt;"",'⚙️ Parametres'!C2,"")</f>
        <v>ANALYSTES (mis a jour depuis Access)</v>
      </c>
      <c r="B36" s="37" t="n">
        <f aca="false">IF(A36&lt;&gt;"",COUNTIFS('📋 Suspens'!E:E,A36,'📋 Suspens'!H:H,"En cours"),"")</f>
        <v>0</v>
      </c>
      <c r="C36" s="37" t="n">
        <f aca="false">IF(A36&lt;&gt;"",COUNTIFS('📋 Suspens'!E:E,A36,'📋 Suspens'!H:H,"Cloture"),"")</f>
        <v>0</v>
      </c>
      <c r="D36" s="37" t="n">
        <f aca="false">IF(A36&lt;&gt;"",COUNTIFS('📋 Suspens'!E:E,A36,'📋 Suspens'!H:H,"En attente"),"")</f>
        <v>0</v>
      </c>
      <c r="E36" s="42" t="n">
        <f aca="false">IF(A36&lt;&gt;"",COUNTIF('📋 Suspens'!E:E,A36),"")</f>
        <v>0</v>
      </c>
      <c r="F36" s="43" t="str">
        <f aca="false">IFERROR(AVERAGEIFS('📋 Suspens'!I:I,'📋 Suspens'!E:E,A36,'📋 Suspens'!H:H,"Cloture"),"")</f>
        <v/>
      </c>
      <c r="G36" s="37" t="n">
        <f aca="false">IF(A36&lt;&gt;"",COUNTIFS('📋 Suspens'!E:E,A36,'📋 Suspens'!H:H,"En cours",'📋 Suspens'!I:I,"&gt;30"),"")</f>
        <v>0</v>
      </c>
    </row>
    <row r="37" customFormat="false" ht="21.75" hidden="false" customHeight="true" outlineLevel="0" collapsed="false">
      <c r="A37" s="28" t="str">
        <f aca="false">IF('⚙️ Parametres'!C3&lt;&gt;"",'⚙️ Parametres'!C3,"")</f>
        <v/>
      </c>
      <c r="B37" s="30" t="str">
        <f aca="false">IF(A37&lt;&gt;"",COUNTIFS('📋 Suspens'!E:E,A37,'📋 Suspens'!H:H,"En cours"),"")</f>
        <v/>
      </c>
      <c r="C37" s="30" t="str">
        <f aca="false">IF(A37&lt;&gt;"",COUNTIFS('📋 Suspens'!E:E,A37,'📋 Suspens'!H:H,"Cloture"),"")</f>
        <v/>
      </c>
      <c r="D37" s="30" t="str">
        <f aca="false">IF(A37&lt;&gt;"",COUNTIFS('📋 Suspens'!E:E,A37,'📋 Suspens'!H:H,"En attente"),"")</f>
        <v/>
      </c>
      <c r="E37" s="45" t="str">
        <f aca="false">IF(A37&lt;&gt;"",COUNTIF('📋 Suspens'!E:E,A37),"")</f>
        <v/>
      </c>
      <c r="F37" s="46" t="str">
        <f aca="false">IFERROR(AVERAGEIFS('📋 Suspens'!I:I,'📋 Suspens'!E:E,A37,'📋 Suspens'!H:H,"Cloture"),"")</f>
        <v/>
      </c>
      <c r="G37" s="30" t="str">
        <f aca="false">IF(A37&lt;&gt;"",COUNTIFS('📋 Suspens'!E:E,A37,'📋 Suspens'!H:H,"En cours",'📋 Suspens'!I:I,"&gt;30"),"")</f>
        <v/>
      </c>
    </row>
    <row r="38" customFormat="false" ht="21.75" hidden="false" customHeight="true" outlineLevel="0" collapsed="false">
      <c r="A38" s="35" t="str">
        <f aca="false">IF('⚙️ Parametres'!C4&lt;&gt;"",'⚙️ Parametres'!C4,"")</f>
        <v/>
      </c>
      <c r="B38" s="37" t="str">
        <f aca="false">IF(A38&lt;&gt;"",COUNTIFS('📋 Suspens'!E:E,A38,'📋 Suspens'!H:H,"En cours"),"")</f>
        <v/>
      </c>
      <c r="C38" s="37" t="str">
        <f aca="false">IF(A38&lt;&gt;"",COUNTIFS('📋 Suspens'!E:E,A38,'📋 Suspens'!H:H,"Cloture"),"")</f>
        <v/>
      </c>
      <c r="D38" s="37" t="str">
        <f aca="false">IF(A38&lt;&gt;"",COUNTIFS('📋 Suspens'!E:E,A38,'📋 Suspens'!H:H,"En attente"),"")</f>
        <v/>
      </c>
      <c r="E38" s="42" t="str">
        <f aca="false">IF(A38&lt;&gt;"",COUNTIF('📋 Suspens'!E:E,A38),"")</f>
        <v/>
      </c>
      <c r="F38" s="43" t="str">
        <f aca="false">IFERROR(AVERAGEIFS('📋 Suspens'!I:I,'📋 Suspens'!E:E,A38,'📋 Suspens'!H:H,"Cloture"),"")</f>
        <v/>
      </c>
      <c r="G38" s="37" t="str">
        <f aca="false">IF(A38&lt;&gt;"",COUNTIFS('📋 Suspens'!E:E,A38,'📋 Suspens'!H:H,"En cours",'📋 Suspens'!I:I,"&gt;30"),"")</f>
        <v/>
      </c>
    </row>
    <row r="39" customFormat="false" ht="21.75" hidden="false" customHeight="true" outlineLevel="0" collapsed="false">
      <c r="A39" s="28" t="str">
        <f aca="false">IF('⚙️ Parametres'!C5&lt;&gt;"",'⚙️ Parametres'!C5,"")</f>
        <v/>
      </c>
      <c r="B39" s="30" t="str">
        <f aca="false">IF(A39&lt;&gt;"",COUNTIFS('📋 Suspens'!E:E,A39,'📋 Suspens'!H:H,"En cours"),"")</f>
        <v/>
      </c>
      <c r="C39" s="30" t="str">
        <f aca="false">IF(A39&lt;&gt;"",COUNTIFS('📋 Suspens'!E:E,A39,'📋 Suspens'!H:H,"Cloture"),"")</f>
        <v/>
      </c>
      <c r="D39" s="30" t="str">
        <f aca="false">IF(A39&lt;&gt;"",COUNTIFS('📋 Suspens'!E:E,A39,'📋 Suspens'!H:H,"En attente"),"")</f>
        <v/>
      </c>
      <c r="E39" s="45" t="str">
        <f aca="false">IF(A39&lt;&gt;"",COUNTIF('📋 Suspens'!E:E,A39),"")</f>
        <v/>
      </c>
      <c r="F39" s="46" t="str">
        <f aca="false">IFERROR(AVERAGEIFS('📋 Suspens'!I:I,'📋 Suspens'!E:E,A39,'📋 Suspens'!H:H,"Cloture"),"")</f>
        <v/>
      </c>
      <c r="G39" s="30" t="str">
        <f aca="false">IF(A39&lt;&gt;"",COUNTIFS('📋 Suspens'!E:E,A39,'📋 Suspens'!H:H,"En cours",'📋 Suspens'!I:I,"&gt;30"),"")</f>
        <v/>
      </c>
    </row>
    <row r="40" customFormat="false" ht="21.75" hidden="false" customHeight="true" outlineLevel="0" collapsed="false">
      <c r="A40" s="35" t="str">
        <f aca="false">IF('⚙️ Parametres'!C6&lt;&gt;"",'⚙️ Parametres'!C6,"")</f>
        <v/>
      </c>
      <c r="B40" s="37" t="str">
        <f aca="false">IF(A40&lt;&gt;"",COUNTIFS('📋 Suspens'!E:E,A40,'📋 Suspens'!H:H,"En cours"),"")</f>
        <v/>
      </c>
      <c r="C40" s="37" t="str">
        <f aca="false">IF(A40&lt;&gt;"",COUNTIFS('📋 Suspens'!E:E,A40,'📋 Suspens'!H:H,"Cloture"),"")</f>
        <v/>
      </c>
      <c r="D40" s="37" t="str">
        <f aca="false">IF(A40&lt;&gt;"",COUNTIFS('📋 Suspens'!E:E,A40,'📋 Suspens'!H:H,"En attente"),"")</f>
        <v/>
      </c>
      <c r="E40" s="42" t="str">
        <f aca="false">IF(A40&lt;&gt;"",COUNTIF('📋 Suspens'!E:E,A40),"")</f>
        <v/>
      </c>
      <c r="F40" s="43" t="str">
        <f aca="false">IFERROR(AVERAGEIFS('📋 Suspens'!I:I,'📋 Suspens'!E:E,A40,'📋 Suspens'!H:H,"Cloture"),"")</f>
        <v/>
      </c>
      <c r="G40" s="37" t="str">
        <f aca="false">IF(A40&lt;&gt;"",COUNTIFS('📋 Suspens'!E:E,A40,'📋 Suspens'!H:H,"En cours",'📋 Suspens'!I:I,"&gt;30"),"")</f>
        <v/>
      </c>
    </row>
    <row r="41" customFormat="false" ht="21.75" hidden="false" customHeight="true" outlineLevel="0" collapsed="false">
      <c r="A41" s="28" t="str">
        <f aca="false">IF('⚙️ Parametres'!C7&lt;&gt;"",'⚙️ Parametres'!C7,"")</f>
        <v/>
      </c>
      <c r="B41" s="30" t="str">
        <f aca="false">IF(A41&lt;&gt;"",COUNTIFS('📋 Suspens'!E:E,A41,'📋 Suspens'!H:H,"En cours"),"")</f>
        <v/>
      </c>
      <c r="C41" s="30" t="str">
        <f aca="false">IF(A41&lt;&gt;"",COUNTIFS('📋 Suspens'!E:E,A41,'📋 Suspens'!H:H,"Cloture"),"")</f>
        <v/>
      </c>
      <c r="D41" s="30" t="str">
        <f aca="false">IF(A41&lt;&gt;"",COUNTIFS('📋 Suspens'!E:E,A41,'📋 Suspens'!H:H,"En attente"),"")</f>
        <v/>
      </c>
      <c r="E41" s="45" t="str">
        <f aca="false">IF(A41&lt;&gt;"",COUNTIF('📋 Suspens'!E:E,A41),"")</f>
        <v/>
      </c>
      <c r="F41" s="46" t="str">
        <f aca="false">IFERROR(AVERAGEIFS('📋 Suspens'!I:I,'📋 Suspens'!E:E,A41,'📋 Suspens'!H:H,"Cloture"),"")</f>
        <v/>
      </c>
      <c r="G41" s="30" t="str">
        <f aca="false">IF(A41&lt;&gt;"",COUNTIFS('📋 Suspens'!E:E,A41,'📋 Suspens'!H:H,"En cours",'📋 Suspens'!I:I,"&gt;30"),"")</f>
        <v/>
      </c>
    </row>
    <row r="42" customFormat="false" ht="21.75" hidden="false" customHeight="true" outlineLevel="0" collapsed="false">
      <c r="A42" s="35" t="str">
        <f aca="false">IF('⚙️ Parametres'!C8&lt;&gt;"",'⚙️ Parametres'!C8,"")</f>
        <v/>
      </c>
      <c r="B42" s="37" t="str">
        <f aca="false">IF(A42&lt;&gt;"",COUNTIFS('📋 Suspens'!E:E,A42,'📋 Suspens'!H:H,"En cours"),"")</f>
        <v/>
      </c>
      <c r="C42" s="37" t="str">
        <f aca="false">IF(A42&lt;&gt;"",COUNTIFS('📋 Suspens'!E:E,A42,'📋 Suspens'!H:H,"Cloture"),"")</f>
        <v/>
      </c>
      <c r="D42" s="37" t="str">
        <f aca="false">IF(A42&lt;&gt;"",COUNTIFS('📋 Suspens'!E:E,A42,'📋 Suspens'!H:H,"En attente"),"")</f>
        <v/>
      </c>
      <c r="E42" s="42" t="str">
        <f aca="false">IF(A42&lt;&gt;"",COUNTIF('📋 Suspens'!E:E,A42),"")</f>
        <v/>
      </c>
      <c r="F42" s="43" t="str">
        <f aca="false">IFERROR(AVERAGEIFS('📋 Suspens'!I:I,'📋 Suspens'!E:E,A42,'📋 Suspens'!H:H,"Cloture"),"")</f>
        <v/>
      </c>
      <c r="G42" s="37" t="str">
        <f aca="false">IF(A42&lt;&gt;"",COUNTIFS('📋 Suspens'!E:E,A42,'📋 Suspens'!H:H,"En cours",'📋 Suspens'!I:I,"&gt;30"),"")</f>
        <v/>
      </c>
    </row>
    <row r="43" customFormat="false" ht="21.75" hidden="false" customHeight="true" outlineLevel="0" collapsed="false">
      <c r="A43" s="28" t="str">
        <f aca="false">IF('⚙️ Parametres'!C9&lt;&gt;"",'⚙️ Parametres'!C9,"")</f>
        <v/>
      </c>
      <c r="B43" s="30" t="str">
        <f aca="false">IF(A43&lt;&gt;"",COUNTIFS('📋 Suspens'!E:E,A43,'📋 Suspens'!H:H,"En cours"),"")</f>
        <v/>
      </c>
      <c r="C43" s="30" t="str">
        <f aca="false">IF(A43&lt;&gt;"",COUNTIFS('📋 Suspens'!E:E,A43,'📋 Suspens'!H:H,"Cloture"),"")</f>
        <v/>
      </c>
      <c r="D43" s="30" t="str">
        <f aca="false">IF(A43&lt;&gt;"",COUNTIFS('📋 Suspens'!E:E,A43,'📋 Suspens'!H:H,"En attente"),"")</f>
        <v/>
      </c>
      <c r="E43" s="45" t="str">
        <f aca="false">IF(A43&lt;&gt;"",COUNTIF('📋 Suspens'!E:E,A43),"")</f>
        <v/>
      </c>
      <c r="F43" s="46" t="str">
        <f aca="false">IFERROR(AVERAGEIFS('📋 Suspens'!I:I,'📋 Suspens'!E:E,A43,'📋 Suspens'!H:H,"Cloture"),"")</f>
        <v/>
      </c>
      <c r="G43" s="30" t="str">
        <f aca="false">IF(A43&lt;&gt;"",COUNTIFS('📋 Suspens'!E:E,A43,'📋 Suspens'!H:H,"En cours",'📋 Suspens'!I:I,"&gt;30"),"")</f>
        <v/>
      </c>
    </row>
    <row r="44" customFormat="false" ht="21.75" hidden="false" customHeight="true" outlineLevel="0" collapsed="false">
      <c r="A44" s="35" t="str">
        <f aca="false">IF('⚙️ Parametres'!C10&lt;&gt;"",'⚙️ Parametres'!C10,"")</f>
        <v/>
      </c>
      <c r="B44" s="37" t="str">
        <f aca="false">IF(A44&lt;&gt;"",COUNTIFS('📋 Suspens'!E:E,A44,'📋 Suspens'!H:H,"En cours"),"")</f>
        <v/>
      </c>
      <c r="C44" s="37" t="str">
        <f aca="false">IF(A44&lt;&gt;"",COUNTIFS('📋 Suspens'!E:E,A44,'📋 Suspens'!H:H,"Cloture"),"")</f>
        <v/>
      </c>
      <c r="D44" s="37" t="str">
        <f aca="false">IF(A44&lt;&gt;"",COUNTIFS('📋 Suspens'!E:E,A44,'📋 Suspens'!H:H,"En attente"),"")</f>
        <v/>
      </c>
      <c r="E44" s="42" t="str">
        <f aca="false">IF(A44&lt;&gt;"",COUNTIF('📋 Suspens'!E:E,A44),"")</f>
        <v/>
      </c>
      <c r="F44" s="43" t="str">
        <f aca="false">IFERROR(AVERAGEIFS('📋 Suspens'!I:I,'📋 Suspens'!E:E,A44,'📋 Suspens'!H:H,"Cloture"),"")</f>
        <v/>
      </c>
      <c r="G44" s="37" t="str">
        <f aca="false">IF(A44&lt;&gt;"",COUNTIFS('📋 Suspens'!E:E,A44,'📋 Suspens'!H:H,"En cours",'📋 Suspens'!I:I,"&gt;30"),"")</f>
        <v/>
      </c>
    </row>
    <row r="45" customFormat="false" ht="21.75" hidden="false" customHeight="true" outlineLevel="0" collapsed="false">
      <c r="A45" s="28" t="str">
        <f aca="false">IF('⚙️ Parametres'!C11&lt;&gt;"",'⚙️ Parametres'!C11,"")</f>
        <v/>
      </c>
      <c r="B45" s="30" t="str">
        <f aca="false">IF(A45&lt;&gt;"",COUNTIFS('📋 Suspens'!E:E,A45,'📋 Suspens'!H:H,"En cours"),"")</f>
        <v/>
      </c>
      <c r="C45" s="30" t="str">
        <f aca="false">IF(A45&lt;&gt;"",COUNTIFS('📋 Suspens'!E:E,A45,'📋 Suspens'!H:H,"Cloture"),"")</f>
        <v/>
      </c>
      <c r="D45" s="30" t="str">
        <f aca="false">IF(A45&lt;&gt;"",COUNTIFS('📋 Suspens'!E:E,A45,'📋 Suspens'!H:H,"En attente"),"")</f>
        <v/>
      </c>
      <c r="E45" s="45" t="str">
        <f aca="false">IF(A45&lt;&gt;"",COUNTIF('📋 Suspens'!E:E,A45),"")</f>
        <v/>
      </c>
      <c r="F45" s="46" t="str">
        <f aca="false">IFERROR(AVERAGEIFS('📋 Suspens'!I:I,'📋 Suspens'!E:E,A45,'📋 Suspens'!H:H,"Cloture"),"")</f>
        <v/>
      </c>
      <c r="G45" s="30" t="str">
        <f aca="false">IF(A45&lt;&gt;"",COUNTIFS('📋 Suspens'!E:E,A45,'📋 Suspens'!H:H,"En cours",'📋 Suspens'!I:I,"&gt;30"),"")</f>
        <v/>
      </c>
    </row>
    <row r="46" customFormat="false" ht="21.75" hidden="false" customHeight="true" outlineLevel="0" collapsed="false">
      <c r="A46" s="35" t="str">
        <f aca="false">IF('⚙️ Parametres'!C12&lt;&gt;"",'⚙️ Parametres'!C12,"")</f>
        <v/>
      </c>
      <c r="B46" s="37" t="str">
        <f aca="false">IF(A46&lt;&gt;"",COUNTIFS('📋 Suspens'!E:E,A46,'📋 Suspens'!H:H,"En cours"),"")</f>
        <v/>
      </c>
      <c r="C46" s="37" t="str">
        <f aca="false">IF(A46&lt;&gt;"",COUNTIFS('📋 Suspens'!E:E,A46,'📋 Suspens'!H:H,"Cloture"),"")</f>
        <v/>
      </c>
      <c r="D46" s="37" t="str">
        <f aca="false">IF(A46&lt;&gt;"",COUNTIFS('📋 Suspens'!E:E,A46,'📋 Suspens'!H:H,"En attente"),"")</f>
        <v/>
      </c>
      <c r="E46" s="42" t="str">
        <f aca="false">IF(A46&lt;&gt;"",COUNTIF('📋 Suspens'!E:E,A46),"")</f>
        <v/>
      </c>
      <c r="F46" s="43" t="str">
        <f aca="false">IFERROR(AVERAGEIFS('📋 Suspens'!I:I,'📋 Suspens'!E:E,A46,'📋 Suspens'!H:H,"Cloture"),"")</f>
        <v/>
      </c>
      <c r="G46" s="37" t="str">
        <f aca="false">IF(A46&lt;&gt;"",COUNTIFS('📋 Suspens'!E:E,A46,'📋 Suspens'!H:H,"En cours",'📋 Suspens'!I:I,"&gt;30"),"")</f>
        <v/>
      </c>
    </row>
    <row r="47" customFormat="false" ht="21.75" hidden="false" customHeight="true" outlineLevel="0" collapsed="false">
      <c r="A47" s="28" t="str">
        <f aca="false">IF('⚙️ Parametres'!C13&lt;&gt;"",'⚙️ Parametres'!C13,"")</f>
        <v/>
      </c>
      <c r="B47" s="30" t="str">
        <f aca="false">IF(A47&lt;&gt;"",COUNTIFS('📋 Suspens'!E:E,A47,'📋 Suspens'!H:H,"En cours"),"")</f>
        <v/>
      </c>
      <c r="C47" s="30" t="str">
        <f aca="false">IF(A47&lt;&gt;"",COUNTIFS('📋 Suspens'!E:E,A47,'📋 Suspens'!H:H,"Cloture"),"")</f>
        <v/>
      </c>
      <c r="D47" s="30" t="str">
        <f aca="false">IF(A47&lt;&gt;"",COUNTIFS('📋 Suspens'!E:E,A47,'📋 Suspens'!H:H,"En attente"),"")</f>
        <v/>
      </c>
      <c r="E47" s="45" t="str">
        <f aca="false">IF(A47&lt;&gt;"",COUNTIF('📋 Suspens'!E:E,A47),"")</f>
        <v/>
      </c>
      <c r="F47" s="46" t="str">
        <f aca="false">IFERROR(AVERAGEIFS('📋 Suspens'!I:I,'📋 Suspens'!E:E,A47,'📋 Suspens'!H:H,"Cloture"),"")</f>
        <v/>
      </c>
      <c r="G47" s="30" t="str">
        <f aca="false">IF(A47&lt;&gt;"",COUNTIFS('📋 Suspens'!E:E,A47,'📋 Suspens'!H:H,"En cours",'📋 Suspens'!I:I,"&gt;30"),"")</f>
        <v/>
      </c>
    </row>
    <row r="48" customFormat="false" ht="21.75" hidden="false" customHeight="true" outlineLevel="0" collapsed="false">
      <c r="A48" s="35" t="str">
        <f aca="false">IF('⚙️ Parametres'!C14&lt;&gt;"",'⚙️ Parametres'!C14,"")</f>
        <v/>
      </c>
      <c r="B48" s="37" t="str">
        <f aca="false">IF(A48&lt;&gt;"",COUNTIFS('📋 Suspens'!E:E,A48,'📋 Suspens'!H:H,"En cours"),"")</f>
        <v/>
      </c>
      <c r="C48" s="37" t="str">
        <f aca="false">IF(A48&lt;&gt;"",COUNTIFS('📋 Suspens'!E:E,A48,'📋 Suspens'!H:H,"Cloture"),"")</f>
        <v/>
      </c>
      <c r="D48" s="37" t="str">
        <f aca="false">IF(A48&lt;&gt;"",COUNTIFS('📋 Suspens'!E:E,A48,'📋 Suspens'!H:H,"En attente"),"")</f>
        <v/>
      </c>
      <c r="E48" s="42" t="str">
        <f aca="false">IF(A48&lt;&gt;"",COUNTIF('📋 Suspens'!E:E,A48),"")</f>
        <v/>
      </c>
      <c r="F48" s="43" t="str">
        <f aca="false">IFERROR(AVERAGEIFS('📋 Suspens'!I:I,'📋 Suspens'!E:E,A48,'📋 Suspens'!H:H,"Cloture"),"")</f>
        <v/>
      </c>
      <c r="G48" s="37" t="str">
        <f aca="false">IF(A48&lt;&gt;"",COUNTIFS('📋 Suspens'!E:E,A48,'📋 Suspens'!H:H,"En cours",'📋 Suspens'!I:I,"&gt;30"),"")</f>
        <v/>
      </c>
    </row>
    <row r="49" customFormat="false" ht="21.75" hidden="false" customHeight="true" outlineLevel="0" collapsed="false">
      <c r="A49" s="28" t="str">
        <f aca="false">IF('⚙️ Parametres'!C15&lt;&gt;"",'⚙️ Parametres'!C15,"")</f>
        <v/>
      </c>
      <c r="B49" s="30" t="str">
        <f aca="false">IF(A49&lt;&gt;"",COUNTIFS('📋 Suspens'!E:E,A49,'📋 Suspens'!H:H,"En cours"),"")</f>
        <v/>
      </c>
      <c r="C49" s="30" t="str">
        <f aca="false">IF(A49&lt;&gt;"",COUNTIFS('📋 Suspens'!E:E,A49,'📋 Suspens'!H:H,"Cloture"),"")</f>
        <v/>
      </c>
      <c r="D49" s="30" t="str">
        <f aca="false">IF(A49&lt;&gt;"",COUNTIFS('📋 Suspens'!E:E,A49,'📋 Suspens'!H:H,"En attente"),"")</f>
        <v/>
      </c>
      <c r="E49" s="45" t="str">
        <f aca="false">IF(A49&lt;&gt;"",COUNTIF('📋 Suspens'!E:E,A49),"")</f>
        <v/>
      </c>
      <c r="F49" s="46" t="str">
        <f aca="false">IFERROR(AVERAGEIFS('📋 Suspens'!I:I,'📋 Suspens'!E:E,A49,'📋 Suspens'!H:H,"Cloture"),"")</f>
        <v/>
      </c>
      <c r="G49" s="30" t="str">
        <f aca="false">IF(A49&lt;&gt;"",COUNTIFS('📋 Suspens'!E:E,A49,'📋 Suspens'!H:H,"En cours",'📋 Suspens'!I:I,"&gt;30"),"")</f>
        <v/>
      </c>
    </row>
    <row r="50" customFormat="false" ht="21.75" hidden="false" customHeight="true" outlineLevel="0" collapsed="false">
      <c r="A50" s="35" t="str">
        <f aca="false">IF('⚙️ Parametres'!C16&lt;&gt;"",'⚙️ Parametres'!C16,"")</f>
        <v/>
      </c>
      <c r="B50" s="37" t="str">
        <f aca="false">IF(A50&lt;&gt;"",COUNTIFS('📋 Suspens'!E:E,A50,'📋 Suspens'!H:H,"En cours"),"")</f>
        <v/>
      </c>
      <c r="C50" s="37" t="str">
        <f aca="false">IF(A50&lt;&gt;"",COUNTIFS('📋 Suspens'!E:E,A50,'📋 Suspens'!H:H,"Cloture"),"")</f>
        <v/>
      </c>
      <c r="D50" s="37" t="str">
        <f aca="false">IF(A50&lt;&gt;"",COUNTIFS('📋 Suspens'!E:E,A50,'📋 Suspens'!H:H,"En attente"),"")</f>
        <v/>
      </c>
      <c r="E50" s="42" t="str">
        <f aca="false">IF(A50&lt;&gt;"",COUNTIF('📋 Suspens'!E:E,A50),"")</f>
        <v/>
      </c>
      <c r="F50" s="43" t="str">
        <f aca="false">IFERROR(AVERAGEIFS('📋 Suspens'!I:I,'📋 Suspens'!E:E,A50,'📋 Suspens'!H:H,"Cloture"),"")</f>
        <v/>
      </c>
      <c r="G50" s="37" t="str">
        <f aca="false">IF(A50&lt;&gt;"",COUNTIFS('📋 Suspens'!E:E,A50,'📋 Suspens'!H:H,"En cours",'📋 Suspens'!I:I,"&gt;30"),"")</f>
        <v/>
      </c>
    </row>
    <row r="51" customFormat="false" ht="21.75" hidden="false" customHeight="true" outlineLevel="0" collapsed="false">
      <c r="A51" s="28" t="str">
        <f aca="false">IF('⚙️ Parametres'!C17&lt;&gt;"",'⚙️ Parametres'!C17,"")</f>
        <v/>
      </c>
      <c r="B51" s="30" t="str">
        <f aca="false">IF(A51&lt;&gt;"",COUNTIFS('📋 Suspens'!E:E,A51,'📋 Suspens'!H:H,"En cours"),"")</f>
        <v/>
      </c>
      <c r="C51" s="30" t="str">
        <f aca="false">IF(A51&lt;&gt;"",COUNTIFS('📋 Suspens'!E:E,A51,'📋 Suspens'!H:H,"Cloture"),"")</f>
        <v/>
      </c>
      <c r="D51" s="30" t="str">
        <f aca="false">IF(A51&lt;&gt;"",COUNTIFS('📋 Suspens'!E:E,A51,'📋 Suspens'!H:H,"En attente"),"")</f>
        <v/>
      </c>
      <c r="E51" s="45" t="str">
        <f aca="false">IF(A51&lt;&gt;"",COUNTIF('📋 Suspens'!E:E,A51),"")</f>
        <v/>
      </c>
      <c r="F51" s="46" t="str">
        <f aca="false">IFERROR(AVERAGEIFS('📋 Suspens'!I:I,'📋 Suspens'!E:E,A51,'📋 Suspens'!H:H,"Cloture"),"")</f>
        <v/>
      </c>
      <c r="G51" s="30" t="str">
        <f aca="false">IF(A51&lt;&gt;"",COUNTIFS('📋 Suspens'!E:E,A51,'📋 Suspens'!H:H,"En cours",'📋 Suspens'!I:I,"&gt;30"),"")</f>
        <v/>
      </c>
    </row>
    <row r="52" customFormat="false" ht="21.75" hidden="false" customHeight="true" outlineLevel="0" collapsed="false">
      <c r="A52" s="35" t="str">
        <f aca="false">IF('⚙️ Parametres'!C18&lt;&gt;"",'⚙️ Parametres'!C18,"")</f>
        <v/>
      </c>
      <c r="B52" s="37" t="str">
        <f aca="false">IF(A52&lt;&gt;"",COUNTIFS('📋 Suspens'!E:E,A52,'📋 Suspens'!H:H,"En cours"),"")</f>
        <v/>
      </c>
      <c r="C52" s="37" t="str">
        <f aca="false">IF(A52&lt;&gt;"",COUNTIFS('📋 Suspens'!E:E,A52,'📋 Suspens'!H:H,"Cloture"),"")</f>
        <v/>
      </c>
      <c r="D52" s="37" t="str">
        <f aca="false">IF(A52&lt;&gt;"",COUNTIFS('📋 Suspens'!E:E,A52,'📋 Suspens'!H:H,"En attente"),"")</f>
        <v/>
      </c>
      <c r="E52" s="42" t="str">
        <f aca="false">IF(A52&lt;&gt;"",COUNTIF('📋 Suspens'!E:E,A52),"")</f>
        <v/>
      </c>
      <c r="F52" s="43" t="str">
        <f aca="false">IFERROR(AVERAGEIFS('📋 Suspens'!I:I,'📋 Suspens'!E:E,A52,'📋 Suspens'!H:H,"Cloture"),"")</f>
        <v/>
      </c>
      <c r="G52" s="37" t="str">
        <f aca="false">IF(A52&lt;&gt;"",COUNTIFS('📋 Suspens'!E:E,A52,'📋 Suspens'!H:H,"En cours",'📋 Suspens'!I:I,"&gt;30"),"")</f>
        <v/>
      </c>
    </row>
    <row r="53" customFormat="false" ht="21.75" hidden="false" customHeight="true" outlineLevel="0" collapsed="false">
      <c r="A53" s="28" t="str">
        <f aca="false">IF('⚙️ Parametres'!C19&lt;&gt;"",'⚙️ Parametres'!C19,"")</f>
        <v/>
      </c>
      <c r="B53" s="30" t="str">
        <f aca="false">IF(A53&lt;&gt;"",COUNTIFS('📋 Suspens'!E:E,A53,'📋 Suspens'!H:H,"En cours"),"")</f>
        <v/>
      </c>
      <c r="C53" s="30" t="str">
        <f aca="false">IF(A53&lt;&gt;"",COUNTIFS('📋 Suspens'!E:E,A53,'📋 Suspens'!H:H,"Cloture"),"")</f>
        <v/>
      </c>
      <c r="D53" s="30" t="str">
        <f aca="false">IF(A53&lt;&gt;"",COUNTIFS('📋 Suspens'!E:E,A53,'📋 Suspens'!H:H,"En attente"),"")</f>
        <v/>
      </c>
      <c r="E53" s="45" t="str">
        <f aca="false">IF(A53&lt;&gt;"",COUNTIF('📋 Suspens'!E:E,A53),"")</f>
        <v/>
      </c>
      <c r="F53" s="46" t="str">
        <f aca="false">IFERROR(AVERAGEIFS('📋 Suspens'!I:I,'📋 Suspens'!E:E,A53,'📋 Suspens'!H:H,"Cloture"),"")</f>
        <v/>
      </c>
      <c r="G53" s="30" t="str">
        <f aca="false">IF(A53&lt;&gt;"",COUNTIFS('📋 Suspens'!E:E,A53,'📋 Suspens'!H:H,"En cours",'📋 Suspens'!I:I,"&gt;30"),"")</f>
        <v/>
      </c>
    </row>
    <row r="54" customFormat="false" ht="21.75" hidden="false" customHeight="true" outlineLevel="0" collapsed="false">
      <c r="A54" s="35" t="str">
        <f aca="false">IF('⚙️ Parametres'!C20&lt;&gt;"",'⚙️ Parametres'!C20,"")</f>
        <v/>
      </c>
      <c r="B54" s="37" t="str">
        <f aca="false">IF(A54&lt;&gt;"",COUNTIFS('📋 Suspens'!E:E,A54,'📋 Suspens'!H:H,"En cours"),"")</f>
        <v/>
      </c>
      <c r="C54" s="37" t="str">
        <f aca="false">IF(A54&lt;&gt;"",COUNTIFS('📋 Suspens'!E:E,A54,'📋 Suspens'!H:H,"Cloture"),"")</f>
        <v/>
      </c>
      <c r="D54" s="37" t="str">
        <f aca="false">IF(A54&lt;&gt;"",COUNTIFS('📋 Suspens'!E:E,A54,'📋 Suspens'!H:H,"En attente"),"")</f>
        <v/>
      </c>
      <c r="E54" s="42" t="str">
        <f aca="false">IF(A54&lt;&gt;"",COUNTIF('📋 Suspens'!E:E,A54),"")</f>
        <v/>
      </c>
      <c r="F54" s="43" t="str">
        <f aca="false">IFERROR(AVERAGEIFS('📋 Suspens'!I:I,'📋 Suspens'!E:E,A54,'📋 Suspens'!H:H,"Cloture"),"")</f>
        <v/>
      </c>
      <c r="G54" s="37" t="str">
        <f aca="false">IF(A54&lt;&gt;"",COUNTIFS('📋 Suspens'!E:E,A54,'📋 Suspens'!H:H,"En cours",'📋 Suspens'!I:I,"&gt;30"),"")</f>
        <v/>
      </c>
    </row>
    <row r="55" customFormat="false" ht="21.75" hidden="false" customHeight="true" outlineLevel="0" collapsed="false">
      <c r="A55" s="28" t="str">
        <f aca="false">IF('⚙️ Parametres'!C21&lt;&gt;"",'⚙️ Parametres'!C21,"")</f>
        <v/>
      </c>
      <c r="B55" s="30" t="str">
        <f aca="false">IF(A55&lt;&gt;"",COUNTIFS('📋 Suspens'!E:E,A55,'📋 Suspens'!H:H,"En cours"),"")</f>
        <v/>
      </c>
      <c r="C55" s="30" t="str">
        <f aca="false">IF(A55&lt;&gt;"",COUNTIFS('📋 Suspens'!E:E,A55,'📋 Suspens'!H:H,"Cloture"),"")</f>
        <v/>
      </c>
      <c r="D55" s="30" t="str">
        <f aca="false">IF(A55&lt;&gt;"",COUNTIFS('📋 Suspens'!E:E,A55,'📋 Suspens'!H:H,"En attente"),"")</f>
        <v/>
      </c>
      <c r="E55" s="45" t="str">
        <f aca="false">IF(A55&lt;&gt;"",COUNTIF('📋 Suspens'!E:E,A55),"")</f>
        <v/>
      </c>
      <c r="F55" s="46" t="str">
        <f aca="false">IFERROR(AVERAGEIFS('📋 Suspens'!I:I,'📋 Suspens'!E:E,A55,'📋 Suspens'!H:H,"Cloture"),"")</f>
        <v/>
      </c>
      <c r="G55" s="30" t="str">
        <f aca="false">IF(A55&lt;&gt;"",COUNTIFS('📋 Suspens'!E:E,A55,'📋 Suspens'!H:H,"En cours",'📋 Suspens'!I:I,"&gt;30"),"")</f>
        <v/>
      </c>
    </row>
    <row r="56" customFormat="false" ht="21.75" hidden="false" customHeight="true" outlineLevel="0" collapsed="false">
      <c r="A56" s="35" t="str">
        <f aca="false">IF('⚙️ Parametres'!C22&lt;&gt;"",'⚙️ Parametres'!C22,"")</f>
        <v/>
      </c>
      <c r="B56" s="37" t="str">
        <f aca="false">IF(A56&lt;&gt;"",COUNTIFS('📋 Suspens'!E:E,A56,'📋 Suspens'!H:H,"En cours"),"")</f>
        <v/>
      </c>
      <c r="C56" s="37" t="str">
        <f aca="false">IF(A56&lt;&gt;"",COUNTIFS('📋 Suspens'!E:E,A56,'📋 Suspens'!H:H,"Cloture"),"")</f>
        <v/>
      </c>
      <c r="D56" s="37" t="str">
        <f aca="false">IF(A56&lt;&gt;"",COUNTIFS('📋 Suspens'!E:E,A56,'📋 Suspens'!H:H,"En attente"),"")</f>
        <v/>
      </c>
      <c r="E56" s="42" t="str">
        <f aca="false">IF(A56&lt;&gt;"",COUNTIF('📋 Suspens'!E:E,A56),"")</f>
        <v/>
      </c>
      <c r="F56" s="43" t="str">
        <f aca="false">IFERROR(AVERAGEIFS('📋 Suspens'!I:I,'📋 Suspens'!E:E,A56,'📋 Suspens'!H:H,"Cloture"),"")</f>
        <v/>
      </c>
      <c r="G56" s="37" t="str">
        <f aca="false">IF(A56&lt;&gt;"",COUNTIFS('📋 Suspens'!E:E,A56,'📋 Suspens'!H:H,"En cours",'📋 Suspens'!I:I,"&gt;30"),"")</f>
        <v/>
      </c>
    </row>
    <row r="57" customFormat="false" ht="21.75" hidden="false" customHeight="true" outlineLevel="0" collapsed="false">
      <c r="A57" s="28" t="str">
        <f aca="false">IF('⚙️ Parametres'!C23&lt;&gt;"",'⚙️ Parametres'!C23,"")</f>
        <v/>
      </c>
      <c r="B57" s="30" t="str">
        <f aca="false">IF(A57&lt;&gt;"",COUNTIFS('📋 Suspens'!E:E,A57,'📋 Suspens'!H:H,"En cours"),"")</f>
        <v/>
      </c>
      <c r="C57" s="30" t="str">
        <f aca="false">IF(A57&lt;&gt;"",COUNTIFS('📋 Suspens'!E:E,A57,'📋 Suspens'!H:H,"Cloture"),"")</f>
        <v/>
      </c>
      <c r="D57" s="30" t="str">
        <f aca="false">IF(A57&lt;&gt;"",COUNTIFS('📋 Suspens'!E:E,A57,'📋 Suspens'!H:H,"En attente"),"")</f>
        <v/>
      </c>
      <c r="E57" s="45" t="str">
        <f aca="false">IF(A57&lt;&gt;"",COUNTIF('📋 Suspens'!E:E,A57),"")</f>
        <v/>
      </c>
      <c r="F57" s="46" t="str">
        <f aca="false">IFERROR(AVERAGEIFS('📋 Suspens'!I:I,'📋 Suspens'!E:E,A57,'📋 Suspens'!H:H,"Cloture"),"")</f>
        <v/>
      </c>
      <c r="G57" s="30" t="str">
        <f aca="false">IF(A57&lt;&gt;"",COUNTIFS('📋 Suspens'!E:E,A57,'📋 Suspens'!H:H,"En cours",'📋 Suspens'!I:I,"&gt;30"),"")</f>
        <v/>
      </c>
    </row>
    <row r="58" customFormat="false" ht="21.75" hidden="false" customHeight="true" outlineLevel="0" collapsed="false">
      <c r="A58" s="35" t="str">
        <f aca="false">IF('⚙️ Parametres'!C24&lt;&gt;"",'⚙️ Parametres'!C24,"")</f>
        <v/>
      </c>
      <c r="B58" s="37" t="str">
        <f aca="false">IF(A58&lt;&gt;"",COUNTIFS('📋 Suspens'!E:E,A58,'📋 Suspens'!H:H,"En cours"),"")</f>
        <v/>
      </c>
      <c r="C58" s="37" t="str">
        <f aca="false">IF(A58&lt;&gt;"",COUNTIFS('📋 Suspens'!E:E,A58,'📋 Suspens'!H:H,"Cloture"),"")</f>
        <v/>
      </c>
      <c r="D58" s="37" t="str">
        <f aca="false">IF(A58&lt;&gt;"",COUNTIFS('📋 Suspens'!E:E,A58,'📋 Suspens'!H:H,"En attente"),"")</f>
        <v/>
      </c>
      <c r="E58" s="42" t="str">
        <f aca="false">IF(A58&lt;&gt;"",COUNTIF('📋 Suspens'!E:E,A58),"")</f>
        <v/>
      </c>
      <c r="F58" s="43" t="str">
        <f aca="false">IFERROR(AVERAGEIFS('📋 Suspens'!I:I,'📋 Suspens'!E:E,A58,'📋 Suspens'!H:H,"Cloture"),"")</f>
        <v/>
      </c>
      <c r="G58" s="37" t="str">
        <f aca="false">IF(A58&lt;&gt;"",COUNTIFS('📋 Suspens'!E:E,A58,'📋 Suspens'!H:H,"En cours",'📋 Suspens'!I:I,"&gt;30"),"")</f>
        <v/>
      </c>
    </row>
    <row r="59" customFormat="false" ht="21.75" hidden="false" customHeight="true" outlineLevel="0" collapsed="false">
      <c r="A59" s="28" t="str">
        <f aca="false">IF('⚙️ Parametres'!C25&lt;&gt;"",'⚙️ Parametres'!C25,"")</f>
        <v/>
      </c>
      <c r="B59" s="30" t="str">
        <f aca="false">IF(A59&lt;&gt;"",COUNTIFS('📋 Suspens'!E:E,A59,'📋 Suspens'!H:H,"En cours"),"")</f>
        <v/>
      </c>
      <c r="C59" s="30" t="str">
        <f aca="false">IF(A59&lt;&gt;"",COUNTIFS('📋 Suspens'!E:E,A59,'📋 Suspens'!H:H,"Cloture"),"")</f>
        <v/>
      </c>
      <c r="D59" s="30" t="str">
        <f aca="false">IF(A59&lt;&gt;"",COUNTIFS('📋 Suspens'!E:E,A59,'📋 Suspens'!H:H,"En attente"),"")</f>
        <v/>
      </c>
      <c r="E59" s="45" t="str">
        <f aca="false">IF(A59&lt;&gt;"",COUNTIF('📋 Suspens'!E:E,A59),"")</f>
        <v/>
      </c>
      <c r="F59" s="46" t="str">
        <f aca="false">IFERROR(AVERAGEIFS('📋 Suspens'!I:I,'📋 Suspens'!E:E,A59,'📋 Suspens'!H:H,"Cloture"),"")</f>
        <v/>
      </c>
      <c r="G59" s="30" t="str">
        <f aca="false">IF(A59&lt;&gt;"",COUNTIFS('📋 Suspens'!E:E,A59,'📋 Suspens'!H:H,"En cours",'📋 Suspens'!I:I,"&gt;30"),"")</f>
        <v/>
      </c>
    </row>
    <row r="60" customFormat="false" ht="21.75" hidden="false" customHeight="true" outlineLevel="0" collapsed="false">
      <c r="A60" s="35" t="str">
        <f aca="false">IF('⚙️ Parametres'!C26&lt;&gt;"",'⚙️ Parametres'!C26,"")</f>
        <v/>
      </c>
      <c r="B60" s="37" t="str">
        <f aca="false">IF(A60&lt;&gt;"",COUNTIFS('📋 Suspens'!E:E,A60,'📋 Suspens'!H:H,"En cours"),"")</f>
        <v/>
      </c>
      <c r="C60" s="37" t="str">
        <f aca="false">IF(A60&lt;&gt;"",COUNTIFS('📋 Suspens'!E:E,A60,'📋 Suspens'!H:H,"Cloture"),"")</f>
        <v/>
      </c>
      <c r="D60" s="37" t="str">
        <f aca="false">IF(A60&lt;&gt;"",COUNTIFS('📋 Suspens'!E:E,A60,'📋 Suspens'!H:H,"En attente"),"")</f>
        <v/>
      </c>
      <c r="E60" s="42" t="str">
        <f aca="false">IF(A60&lt;&gt;"",COUNTIF('📋 Suspens'!E:E,A60),"")</f>
        <v/>
      </c>
      <c r="F60" s="43" t="str">
        <f aca="false">IFERROR(AVERAGEIFS('📋 Suspens'!I:I,'📋 Suspens'!E:E,A60,'📋 Suspens'!H:H,"Cloture"),"")</f>
        <v/>
      </c>
      <c r="G60" s="37" t="str">
        <f aca="false">IF(A60&lt;&gt;"",COUNTIFS('📋 Suspens'!E:E,A60,'📋 Suspens'!H:H,"En cours",'📋 Suspens'!I:I,"&gt;30"),"")</f>
        <v/>
      </c>
    </row>
    <row r="61" customFormat="false" ht="21.75" hidden="false" customHeight="true" outlineLevel="0" collapsed="false">
      <c r="A61" s="28" t="str">
        <f aca="false">IF('⚙️ Parametres'!C27&lt;&gt;"",'⚙️ Parametres'!C27,"")</f>
        <v/>
      </c>
      <c r="B61" s="30" t="str">
        <f aca="false">IF(A61&lt;&gt;"",COUNTIFS('📋 Suspens'!E:E,A61,'📋 Suspens'!H:H,"En cours"),"")</f>
        <v/>
      </c>
      <c r="C61" s="30" t="str">
        <f aca="false">IF(A61&lt;&gt;"",COUNTIFS('📋 Suspens'!E:E,A61,'📋 Suspens'!H:H,"Cloture"),"")</f>
        <v/>
      </c>
      <c r="D61" s="30" t="str">
        <f aca="false">IF(A61&lt;&gt;"",COUNTIFS('📋 Suspens'!E:E,A61,'📋 Suspens'!H:H,"En attente"),"")</f>
        <v/>
      </c>
      <c r="E61" s="45" t="str">
        <f aca="false">IF(A61&lt;&gt;"",COUNTIF('📋 Suspens'!E:E,A61),"")</f>
        <v/>
      </c>
      <c r="F61" s="46" t="str">
        <f aca="false">IFERROR(AVERAGEIFS('📋 Suspens'!I:I,'📋 Suspens'!E:E,A61,'📋 Suspens'!H:H,"Cloture"),"")</f>
        <v/>
      </c>
      <c r="G61" s="30" t="str">
        <f aca="false">IF(A61&lt;&gt;"",COUNTIFS('📋 Suspens'!E:E,A61,'📋 Suspens'!H:H,"En cours",'📋 Suspens'!I:I,"&gt;30"),"")</f>
        <v/>
      </c>
    </row>
    <row r="62" customFormat="false" ht="21.75" hidden="false" customHeight="true" outlineLevel="0" collapsed="false">
      <c r="A62" s="35" t="str">
        <f aca="false">IF('⚙️ Parametres'!C28&lt;&gt;"",'⚙️ Parametres'!C28,"")</f>
        <v/>
      </c>
      <c r="B62" s="37" t="str">
        <f aca="false">IF(A62&lt;&gt;"",COUNTIFS('📋 Suspens'!E:E,A62,'📋 Suspens'!H:H,"En cours"),"")</f>
        <v/>
      </c>
      <c r="C62" s="37" t="str">
        <f aca="false">IF(A62&lt;&gt;"",COUNTIFS('📋 Suspens'!E:E,A62,'📋 Suspens'!H:H,"Cloture"),"")</f>
        <v/>
      </c>
      <c r="D62" s="37" t="str">
        <f aca="false">IF(A62&lt;&gt;"",COUNTIFS('📋 Suspens'!E:E,A62,'📋 Suspens'!H:H,"En attente"),"")</f>
        <v/>
      </c>
      <c r="E62" s="42" t="str">
        <f aca="false">IF(A62&lt;&gt;"",COUNTIF('📋 Suspens'!E:E,A62),"")</f>
        <v/>
      </c>
      <c r="F62" s="43" t="str">
        <f aca="false">IFERROR(AVERAGEIFS('📋 Suspens'!I:I,'📋 Suspens'!E:E,A62,'📋 Suspens'!H:H,"Cloture"),"")</f>
        <v/>
      </c>
      <c r="G62" s="37" t="str">
        <f aca="false">IF(A62&lt;&gt;"",COUNTIFS('📋 Suspens'!E:E,A62,'📋 Suspens'!H:H,"En cours",'📋 Suspens'!I:I,"&gt;30"),"")</f>
        <v/>
      </c>
    </row>
    <row r="63" customFormat="false" ht="21.75" hidden="false" customHeight="true" outlineLevel="0" collapsed="false">
      <c r="A63" s="28" t="str">
        <f aca="false">IF('⚙️ Parametres'!C29&lt;&gt;"",'⚙️ Parametres'!C29,"")</f>
        <v/>
      </c>
      <c r="B63" s="30" t="str">
        <f aca="false">IF(A63&lt;&gt;"",COUNTIFS('📋 Suspens'!E:E,A63,'📋 Suspens'!H:H,"En cours"),"")</f>
        <v/>
      </c>
      <c r="C63" s="30" t="str">
        <f aca="false">IF(A63&lt;&gt;"",COUNTIFS('📋 Suspens'!E:E,A63,'📋 Suspens'!H:H,"Cloture"),"")</f>
        <v/>
      </c>
      <c r="D63" s="30" t="str">
        <f aca="false">IF(A63&lt;&gt;"",COUNTIFS('📋 Suspens'!E:E,A63,'📋 Suspens'!H:H,"En attente"),"")</f>
        <v/>
      </c>
      <c r="E63" s="45" t="str">
        <f aca="false">IF(A63&lt;&gt;"",COUNTIF('📋 Suspens'!E:E,A63),"")</f>
        <v/>
      </c>
      <c r="F63" s="46" t="str">
        <f aca="false">IFERROR(AVERAGEIFS('📋 Suspens'!I:I,'📋 Suspens'!E:E,A63,'📋 Suspens'!H:H,"Cloture"),"")</f>
        <v/>
      </c>
      <c r="G63" s="30" t="str">
        <f aca="false">IF(A63&lt;&gt;"",COUNTIFS('📋 Suspens'!E:E,A63,'📋 Suspens'!H:H,"En cours",'📋 Suspens'!I:I,"&gt;30"),"")</f>
        <v/>
      </c>
    </row>
    <row r="64" customFormat="false" ht="21.75" hidden="false" customHeight="true" outlineLevel="0" collapsed="false">
      <c r="A64" s="35" t="str">
        <f aca="false">IF('⚙️ Parametres'!C30&lt;&gt;"",'⚙️ Parametres'!C30,"")</f>
        <v/>
      </c>
      <c r="B64" s="37" t="str">
        <f aca="false">IF(A64&lt;&gt;"",COUNTIFS('📋 Suspens'!E:E,A64,'📋 Suspens'!H:H,"En cours"),"")</f>
        <v/>
      </c>
      <c r="C64" s="37" t="str">
        <f aca="false">IF(A64&lt;&gt;"",COUNTIFS('📋 Suspens'!E:E,A64,'📋 Suspens'!H:H,"Cloture"),"")</f>
        <v/>
      </c>
      <c r="D64" s="37" t="str">
        <f aca="false">IF(A64&lt;&gt;"",COUNTIFS('📋 Suspens'!E:E,A64,'📋 Suspens'!H:H,"En attente"),"")</f>
        <v/>
      </c>
      <c r="E64" s="42" t="str">
        <f aca="false">IF(A64&lt;&gt;"",COUNTIF('📋 Suspens'!E:E,A64),"")</f>
        <v/>
      </c>
      <c r="F64" s="43" t="str">
        <f aca="false">IFERROR(AVERAGEIFS('📋 Suspens'!I:I,'📋 Suspens'!E:E,A64,'📋 Suspens'!H:H,"Cloture"),"")</f>
        <v/>
      </c>
      <c r="G64" s="37" t="str">
        <f aca="false">IF(A64&lt;&gt;"",COUNTIFS('📋 Suspens'!E:E,A64,'📋 Suspens'!H:H,"En cours",'📋 Suspens'!I:I,"&gt;30"),"")</f>
        <v/>
      </c>
    </row>
    <row r="65" customFormat="false" ht="21.75" hidden="false" customHeight="true" outlineLevel="0" collapsed="false">
      <c r="A65" s="28" t="str">
        <f aca="false">IF('⚙️ Parametres'!C31&lt;&gt;"",'⚙️ Parametres'!C31,"")</f>
        <v>-&gt; Mis a jour automatiquement a chaque actualisation Access</v>
      </c>
      <c r="B65" s="30" t="n">
        <f aca="false">IF(A65&lt;&gt;"",COUNTIFS('📋 Suspens'!E:E,A65,'📋 Suspens'!H:H,"En cours"),"")</f>
        <v>0</v>
      </c>
      <c r="C65" s="30" t="n">
        <f aca="false">IF(A65&lt;&gt;"",COUNTIFS('📋 Suspens'!E:E,A65,'📋 Suspens'!H:H,"Cloture"),"")</f>
        <v>0</v>
      </c>
      <c r="D65" s="30" t="n">
        <f aca="false">IF(A65&lt;&gt;"",COUNTIFS('📋 Suspens'!E:E,A65,'📋 Suspens'!H:H,"En attente"),"")</f>
        <v>0</v>
      </c>
      <c r="E65" s="45" t="n">
        <f aca="false">IF(A65&lt;&gt;"",COUNTIF('📋 Suspens'!E:E,A65),"")</f>
        <v>0</v>
      </c>
      <c r="F65" s="46" t="str">
        <f aca="false">IFERROR(AVERAGEIFS('📋 Suspens'!I:I,'📋 Suspens'!E:E,A65,'📋 Suspens'!H:H,"Cloture"),"")</f>
        <v/>
      </c>
      <c r="G65" s="30" t="n">
        <f aca="false">IF(A65&lt;&gt;"",COUNTIFS('📋 Suspens'!E:E,A65,'📋 Suspens'!H:H,"En cours",'📋 Suspens'!I:I,"&gt;30"),"")</f>
        <v>0</v>
      </c>
    </row>
    <row r="66" customFormat="false" ht="21.75" hidden="false" customHeight="true" outlineLevel="0" collapsed="false">
      <c r="A66" s="35" t="str">
        <f aca="false">IF('⚙️ Parametres'!C32&lt;&gt;"",'⚙️ Parametres'!C32,"")</f>
        <v/>
      </c>
      <c r="B66" s="37" t="str">
        <f aca="false">IF(A66&lt;&gt;"",COUNTIFS('📋 Suspens'!E:E,A66,'📋 Suspens'!H:H,"En cours"),"")</f>
        <v/>
      </c>
      <c r="C66" s="37" t="str">
        <f aca="false">IF(A66&lt;&gt;"",COUNTIFS('📋 Suspens'!E:E,A66,'📋 Suspens'!H:H,"Cloture"),"")</f>
        <v/>
      </c>
      <c r="D66" s="37" t="str">
        <f aca="false">IF(A66&lt;&gt;"",COUNTIFS('📋 Suspens'!E:E,A66,'📋 Suspens'!H:H,"En attente"),"")</f>
        <v/>
      </c>
      <c r="E66" s="42" t="str">
        <f aca="false">IF(A66&lt;&gt;"",COUNTIF('📋 Suspens'!E:E,A66),"")</f>
        <v/>
      </c>
      <c r="F66" s="43" t="str">
        <f aca="false">IFERROR(AVERAGEIFS('📋 Suspens'!I:I,'📋 Suspens'!E:E,A66,'📋 Suspens'!H:H,"Cloture"),"")</f>
        <v/>
      </c>
      <c r="G66" s="37" t="str">
        <f aca="false">IF(A66&lt;&gt;"",COUNTIFS('📋 Suspens'!E:E,A66,'📋 Suspens'!H:H,"En cours",'📋 Suspens'!I:I,"&gt;30"),"")</f>
        <v/>
      </c>
    </row>
    <row r="67" customFormat="false" ht="21.75" hidden="false" customHeight="true" outlineLevel="0" collapsed="false">
      <c r="A67" s="28" t="str">
        <f aca="false">IF('⚙️ Parametres'!C33&lt;&gt;"",'⚙️ Parametres'!C33,"")</f>
        <v/>
      </c>
      <c r="B67" s="30" t="str">
        <f aca="false">IF(A67&lt;&gt;"",COUNTIFS('📋 Suspens'!E:E,A67,'📋 Suspens'!H:H,"En cours"),"")</f>
        <v/>
      </c>
      <c r="C67" s="30" t="str">
        <f aca="false">IF(A67&lt;&gt;"",COUNTIFS('📋 Suspens'!E:E,A67,'📋 Suspens'!H:H,"Cloture"),"")</f>
        <v/>
      </c>
      <c r="D67" s="30" t="str">
        <f aca="false">IF(A67&lt;&gt;"",COUNTIFS('📋 Suspens'!E:E,A67,'📋 Suspens'!H:H,"En attente"),"")</f>
        <v/>
      </c>
      <c r="E67" s="45" t="str">
        <f aca="false">IF(A67&lt;&gt;"",COUNTIF('📋 Suspens'!E:E,A67),"")</f>
        <v/>
      </c>
      <c r="F67" s="46" t="str">
        <f aca="false">IFERROR(AVERAGEIFS('📋 Suspens'!I:I,'📋 Suspens'!E:E,A67,'📋 Suspens'!H:H,"Cloture"),"")</f>
        <v/>
      </c>
      <c r="G67" s="30" t="str">
        <f aca="false">IF(A67&lt;&gt;"",COUNTIFS('📋 Suspens'!E:E,A67,'📋 Suspens'!H:H,"En cours",'📋 Suspens'!I:I,"&gt;30"),"")</f>
        <v/>
      </c>
    </row>
    <row r="68" customFormat="false" ht="21.75" hidden="false" customHeight="true" outlineLevel="0" collapsed="false">
      <c r="A68" s="35" t="str">
        <f aca="false">IF('⚙️ Parametres'!C34&lt;&gt;"",'⚙️ Parametres'!C34,"")</f>
        <v/>
      </c>
      <c r="B68" s="37" t="str">
        <f aca="false">IF(A68&lt;&gt;"",COUNTIFS('📋 Suspens'!E:E,A68,'📋 Suspens'!H:H,"En cours"),"")</f>
        <v/>
      </c>
      <c r="C68" s="37" t="str">
        <f aca="false">IF(A68&lt;&gt;"",COUNTIFS('📋 Suspens'!E:E,A68,'📋 Suspens'!H:H,"Cloture"),"")</f>
        <v/>
      </c>
      <c r="D68" s="37" t="str">
        <f aca="false">IF(A68&lt;&gt;"",COUNTIFS('📋 Suspens'!E:E,A68,'📋 Suspens'!H:H,"En attente"),"")</f>
        <v/>
      </c>
      <c r="E68" s="42" t="str">
        <f aca="false">IF(A68&lt;&gt;"",COUNTIF('📋 Suspens'!E:E,A68),"")</f>
        <v/>
      </c>
      <c r="F68" s="43" t="str">
        <f aca="false">IFERROR(AVERAGEIFS('📋 Suspens'!I:I,'📋 Suspens'!E:E,A68,'📋 Suspens'!H:H,"Cloture"),"")</f>
        <v/>
      </c>
      <c r="G68" s="37" t="str">
        <f aca="false">IF(A68&lt;&gt;"",COUNTIFS('📋 Suspens'!E:E,A68,'📋 Suspens'!H:H,"En cours",'📋 Suspens'!I:I,"&gt;30"),"")</f>
        <v/>
      </c>
    </row>
    <row r="69" customFormat="false" ht="21.75" hidden="false" customHeight="true" outlineLevel="0" collapsed="false">
      <c r="A69" s="28" t="str">
        <f aca="false">IF('⚙️ Parametres'!C35&lt;&gt;"",'⚙️ Parametres'!C35,"")</f>
        <v/>
      </c>
      <c r="B69" s="30" t="str">
        <f aca="false">IF(A69&lt;&gt;"",COUNTIFS('📋 Suspens'!E:E,A69,'📋 Suspens'!H:H,"En cours"),"")</f>
        <v/>
      </c>
      <c r="C69" s="30" t="str">
        <f aca="false">IF(A69&lt;&gt;"",COUNTIFS('📋 Suspens'!E:E,A69,'📋 Suspens'!H:H,"Cloture"),"")</f>
        <v/>
      </c>
      <c r="D69" s="30" t="str">
        <f aca="false">IF(A69&lt;&gt;"",COUNTIFS('📋 Suspens'!E:E,A69,'📋 Suspens'!H:H,"En attente"),"")</f>
        <v/>
      </c>
      <c r="E69" s="45" t="str">
        <f aca="false">IF(A69&lt;&gt;"",COUNTIF('📋 Suspens'!E:E,A69),"")</f>
        <v/>
      </c>
      <c r="F69" s="46" t="str">
        <f aca="false">IFERROR(AVERAGEIFS('📋 Suspens'!I:I,'📋 Suspens'!E:E,A69,'📋 Suspens'!H:H,"Cloture"),"")</f>
        <v/>
      </c>
      <c r="G69" s="30" t="str">
        <f aca="false">IF(A69&lt;&gt;"",COUNTIFS('📋 Suspens'!E:E,A69,'📋 Suspens'!H:H,"En cours",'📋 Suspens'!I:I,"&gt;30"),"")</f>
        <v/>
      </c>
    </row>
    <row r="70" customFormat="false" ht="21.75" hidden="false" customHeight="true" outlineLevel="0" collapsed="false">
      <c r="A70" s="35" t="str">
        <f aca="false">IF('⚙️ Parametres'!C36&lt;&gt;"",'⚙️ Parametres'!C36,"")</f>
        <v/>
      </c>
      <c r="B70" s="37" t="str">
        <f aca="false">IF(A70&lt;&gt;"",COUNTIFS('📋 Suspens'!E:E,A70,'📋 Suspens'!H:H,"En cours"),"")</f>
        <v/>
      </c>
      <c r="C70" s="37" t="str">
        <f aca="false">IF(A70&lt;&gt;"",COUNTIFS('📋 Suspens'!E:E,A70,'📋 Suspens'!H:H,"Cloture"),"")</f>
        <v/>
      </c>
      <c r="D70" s="37" t="str">
        <f aca="false">IF(A70&lt;&gt;"",COUNTIFS('📋 Suspens'!E:E,A70,'📋 Suspens'!H:H,"En attente"),"")</f>
        <v/>
      </c>
      <c r="E70" s="42" t="str">
        <f aca="false">IF(A70&lt;&gt;"",COUNTIF('📋 Suspens'!E:E,A70),"")</f>
        <v/>
      </c>
      <c r="F70" s="43" t="str">
        <f aca="false">IFERROR(AVERAGEIFS('📋 Suspens'!I:I,'📋 Suspens'!E:E,A70,'📋 Suspens'!H:H,"Cloture"),"")</f>
        <v/>
      </c>
      <c r="G70" s="37" t="str">
        <f aca="false">IF(A70&lt;&gt;"",COUNTIFS('📋 Suspens'!E:E,A70,'📋 Suspens'!H:H,"En cours",'📋 Suspens'!I:I,"&gt;30"),"")</f>
        <v/>
      </c>
    </row>
    <row r="71" customFormat="false" ht="21.75" hidden="false" customHeight="true" outlineLevel="0" collapsed="false">
      <c r="A71" s="28" t="str">
        <f aca="false">IF('⚙️ Parametres'!C37&lt;&gt;"",'⚙️ Parametres'!C37,"")</f>
        <v/>
      </c>
      <c r="B71" s="30" t="str">
        <f aca="false">IF(A71&lt;&gt;"",COUNTIFS('📋 Suspens'!E:E,A71,'📋 Suspens'!H:H,"En cours"),"")</f>
        <v/>
      </c>
      <c r="C71" s="30" t="str">
        <f aca="false">IF(A71&lt;&gt;"",COUNTIFS('📋 Suspens'!E:E,A71,'📋 Suspens'!H:H,"Cloture"),"")</f>
        <v/>
      </c>
      <c r="D71" s="30" t="str">
        <f aca="false">IF(A71&lt;&gt;"",COUNTIFS('📋 Suspens'!E:E,A71,'📋 Suspens'!H:H,"En attente"),"")</f>
        <v/>
      </c>
      <c r="E71" s="45" t="str">
        <f aca="false">IF(A71&lt;&gt;"",COUNTIF('📋 Suspens'!E:E,A71),"")</f>
        <v/>
      </c>
      <c r="F71" s="46" t="str">
        <f aca="false">IFERROR(AVERAGEIFS('📋 Suspens'!I:I,'📋 Suspens'!E:E,A71,'📋 Suspens'!H:H,"Cloture"),"")</f>
        <v/>
      </c>
      <c r="G71" s="30" t="str">
        <f aca="false">IF(A71&lt;&gt;"",COUNTIFS('📋 Suspens'!E:E,A71,'📋 Suspens'!H:H,"En cours",'📋 Suspens'!I:I,"&gt;30"),"")</f>
        <v/>
      </c>
    </row>
    <row r="72" customFormat="false" ht="21.75" hidden="false" customHeight="true" outlineLevel="0" collapsed="false">
      <c r="A72" s="35" t="str">
        <f aca="false">IF('⚙️ Parametres'!C38&lt;&gt;"",'⚙️ Parametres'!C38,"")</f>
        <v/>
      </c>
      <c r="B72" s="37" t="str">
        <f aca="false">IF(A72&lt;&gt;"",COUNTIFS('📋 Suspens'!E:E,A72,'📋 Suspens'!H:H,"En cours"),"")</f>
        <v/>
      </c>
      <c r="C72" s="37" t="str">
        <f aca="false">IF(A72&lt;&gt;"",COUNTIFS('📋 Suspens'!E:E,A72,'📋 Suspens'!H:H,"Cloture"),"")</f>
        <v/>
      </c>
      <c r="D72" s="37" t="str">
        <f aca="false">IF(A72&lt;&gt;"",COUNTIFS('📋 Suspens'!E:E,A72,'📋 Suspens'!H:H,"En attente"),"")</f>
        <v/>
      </c>
      <c r="E72" s="42" t="str">
        <f aca="false">IF(A72&lt;&gt;"",COUNTIF('📋 Suspens'!E:E,A72),"")</f>
        <v/>
      </c>
      <c r="F72" s="43" t="str">
        <f aca="false">IFERROR(AVERAGEIFS('📋 Suspens'!I:I,'📋 Suspens'!E:E,A72,'📋 Suspens'!H:H,"Cloture"),"")</f>
        <v/>
      </c>
      <c r="G72" s="37" t="str">
        <f aca="false">IF(A72&lt;&gt;"",COUNTIFS('📋 Suspens'!E:E,A72,'📋 Suspens'!H:H,"En cours",'📋 Suspens'!I:I,"&gt;30"),"")</f>
        <v/>
      </c>
    </row>
    <row r="73" customFormat="false" ht="21.75" hidden="false" customHeight="true" outlineLevel="0" collapsed="false">
      <c r="A73" s="28" t="str">
        <f aca="false">IF('⚙️ Parametres'!C39&lt;&gt;"",'⚙️ Parametres'!C39,"")</f>
        <v/>
      </c>
      <c r="B73" s="30" t="str">
        <f aca="false">IF(A73&lt;&gt;"",COUNTIFS('📋 Suspens'!E:E,A73,'📋 Suspens'!H:H,"En cours"),"")</f>
        <v/>
      </c>
      <c r="C73" s="30" t="str">
        <f aca="false">IF(A73&lt;&gt;"",COUNTIFS('📋 Suspens'!E:E,A73,'📋 Suspens'!H:H,"Cloture"),"")</f>
        <v/>
      </c>
      <c r="D73" s="30" t="str">
        <f aca="false">IF(A73&lt;&gt;"",COUNTIFS('📋 Suspens'!E:E,A73,'📋 Suspens'!H:H,"En attente"),"")</f>
        <v/>
      </c>
      <c r="E73" s="45" t="str">
        <f aca="false">IF(A73&lt;&gt;"",COUNTIF('📋 Suspens'!E:E,A73),"")</f>
        <v/>
      </c>
      <c r="F73" s="46" t="str">
        <f aca="false">IFERROR(AVERAGEIFS('📋 Suspens'!I:I,'📋 Suspens'!E:E,A73,'📋 Suspens'!H:H,"Cloture"),"")</f>
        <v/>
      </c>
      <c r="G73" s="30" t="str">
        <f aca="false">IF(A73&lt;&gt;"",COUNTIFS('📋 Suspens'!E:E,A73,'📋 Suspens'!H:H,"En cours",'📋 Suspens'!I:I,"&gt;30"),"")</f>
        <v/>
      </c>
    </row>
    <row r="74" customFormat="false" ht="21.75" hidden="false" customHeight="true" outlineLevel="0" collapsed="false">
      <c r="A74" s="35" t="str">
        <f aca="false">IF('⚙️ Parametres'!C40&lt;&gt;"",'⚙️ Parametres'!C40,"")</f>
        <v/>
      </c>
      <c r="B74" s="37" t="str">
        <f aca="false">IF(A74&lt;&gt;"",COUNTIFS('📋 Suspens'!E:E,A74,'📋 Suspens'!H:H,"En cours"),"")</f>
        <v/>
      </c>
      <c r="C74" s="37" t="str">
        <f aca="false">IF(A74&lt;&gt;"",COUNTIFS('📋 Suspens'!E:E,A74,'📋 Suspens'!H:H,"Cloture"),"")</f>
        <v/>
      </c>
      <c r="D74" s="37" t="str">
        <f aca="false">IF(A74&lt;&gt;"",COUNTIFS('📋 Suspens'!E:E,A74,'📋 Suspens'!H:H,"En attente"),"")</f>
        <v/>
      </c>
      <c r="E74" s="42" t="str">
        <f aca="false">IF(A74&lt;&gt;"",COUNTIF('📋 Suspens'!E:E,A74),"")</f>
        <v/>
      </c>
      <c r="F74" s="43" t="str">
        <f aca="false">IFERROR(AVERAGEIFS('📋 Suspens'!I:I,'📋 Suspens'!E:E,A74,'📋 Suspens'!H:H,"Cloture"),"")</f>
        <v/>
      </c>
      <c r="G74" s="37" t="str">
        <f aca="false">IF(A74&lt;&gt;"",COUNTIFS('📋 Suspens'!E:E,A74,'📋 Suspens'!H:H,"En cours",'📋 Suspens'!I:I,"&gt;30"),"")</f>
        <v/>
      </c>
    </row>
    <row r="75" customFormat="false" ht="21.75" hidden="false" customHeight="true" outlineLevel="0" collapsed="false">
      <c r="A75" s="28" t="str">
        <f aca="false">IF('⚙️ Parametres'!C41&lt;&gt;"",'⚙️ Parametres'!C41,"")</f>
        <v/>
      </c>
      <c r="B75" s="30" t="str">
        <f aca="false">IF(A75&lt;&gt;"",COUNTIFS('📋 Suspens'!E:E,A75,'📋 Suspens'!H:H,"En cours"),"")</f>
        <v/>
      </c>
      <c r="C75" s="30" t="str">
        <f aca="false">IF(A75&lt;&gt;"",COUNTIFS('📋 Suspens'!E:E,A75,'📋 Suspens'!H:H,"Cloture"),"")</f>
        <v/>
      </c>
      <c r="D75" s="30" t="str">
        <f aca="false">IF(A75&lt;&gt;"",COUNTIFS('📋 Suspens'!E:E,A75,'📋 Suspens'!H:H,"En attente"),"")</f>
        <v/>
      </c>
      <c r="E75" s="45" t="str">
        <f aca="false">IF(A75&lt;&gt;"",COUNTIF('📋 Suspens'!E:E,A75),"")</f>
        <v/>
      </c>
      <c r="F75" s="46" t="str">
        <f aca="false">IFERROR(AVERAGEIFS('📋 Suspens'!I:I,'📋 Suspens'!E:E,A75,'📋 Suspens'!H:H,"Cloture"),"")</f>
        <v/>
      </c>
      <c r="G75" s="30" t="str">
        <f aca="false">IF(A75&lt;&gt;"",COUNTIFS('📋 Suspens'!E:E,A75,'📋 Suspens'!H:H,"En cours",'📋 Suspens'!I:I,"&gt;30"),"")</f>
        <v/>
      </c>
    </row>
    <row r="76" customFormat="false" ht="21.75" hidden="false" customHeight="true" outlineLevel="0" collapsed="false">
      <c r="A76" s="35" t="str">
        <f aca="false">IF('⚙️ Parametres'!C42&lt;&gt;"",'⚙️ Parametres'!C42,"")</f>
        <v/>
      </c>
      <c r="B76" s="37" t="str">
        <f aca="false">IF(A76&lt;&gt;"",COUNTIFS('📋 Suspens'!E:E,A76,'📋 Suspens'!H:H,"En cours"),"")</f>
        <v/>
      </c>
      <c r="C76" s="37" t="str">
        <f aca="false">IF(A76&lt;&gt;"",COUNTIFS('📋 Suspens'!E:E,A76,'📋 Suspens'!H:H,"Cloture"),"")</f>
        <v/>
      </c>
      <c r="D76" s="37" t="str">
        <f aca="false">IF(A76&lt;&gt;"",COUNTIFS('📋 Suspens'!E:E,A76,'📋 Suspens'!H:H,"En attente"),"")</f>
        <v/>
      </c>
      <c r="E76" s="42" t="str">
        <f aca="false">IF(A76&lt;&gt;"",COUNTIF('📋 Suspens'!E:E,A76),"")</f>
        <v/>
      </c>
      <c r="F76" s="43" t="str">
        <f aca="false">IFERROR(AVERAGEIFS('📋 Suspens'!I:I,'📋 Suspens'!E:E,A76,'📋 Suspens'!H:H,"Cloture"),"")</f>
        <v/>
      </c>
      <c r="G76" s="37" t="str">
        <f aca="false">IF(A76&lt;&gt;"",COUNTIFS('📋 Suspens'!E:E,A76,'📋 Suspens'!H:H,"En cours",'📋 Suspens'!I:I,"&gt;30"),"")</f>
        <v/>
      </c>
    </row>
    <row r="77" customFormat="false" ht="21.75" hidden="false" customHeight="true" outlineLevel="0" collapsed="false">
      <c r="A77" s="28" t="str">
        <f aca="false">IF('⚙️ Parametres'!C43&lt;&gt;"",'⚙️ Parametres'!C43,"")</f>
        <v/>
      </c>
      <c r="B77" s="30" t="str">
        <f aca="false">IF(A77&lt;&gt;"",COUNTIFS('📋 Suspens'!E:E,A77,'📋 Suspens'!H:H,"En cours"),"")</f>
        <v/>
      </c>
      <c r="C77" s="30" t="str">
        <f aca="false">IF(A77&lt;&gt;"",COUNTIFS('📋 Suspens'!E:E,A77,'📋 Suspens'!H:H,"Cloture"),"")</f>
        <v/>
      </c>
      <c r="D77" s="30" t="str">
        <f aca="false">IF(A77&lt;&gt;"",COUNTIFS('📋 Suspens'!E:E,A77,'📋 Suspens'!H:H,"En attente"),"")</f>
        <v/>
      </c>
      <c r="E77" s="45" t="str">
        <f aca="false">IF(A77&lt;&gt;"",COUNTIF('📋 Suspens'!E:E,A77),"")</f>
        <v/>
      </c>
      <c r="F77" s="46" t="str">
        <f aca="false">IFERROR(AVERAGEIFS('📋 Suspens'!I:I,'📋 Suspens'!E:E,A77,'📋 Suspens'!H:H,"Cloture"),"")</f>
        <v/>
      </c>
      <c r="G77" s="30" t="str">
        <f aca="false">IF(A77&lt;&gt;"",COUNTIFS('📋 Suspens'!E:E,A77,'📋 Suspens'!H:H,"En cours",'📋 Suspens'!I:I,"&gt;30"),"")</f>
        <v/>
      </c>
    </row>
    <row r="78" customFormat="false" ht="21.75" hidden="false" customHeight="true" outlineLevel="0" collapsed="false">
      <c r="A78" s="35" t="str">
        <f aca="false">IF('⚙️ Parametres'!C44&lt;&gt;"",'⚙️ Parametres'!C44,"")</f>
        <v/>
      </c>
      <c r="B78" s="37" t="str">
        <f aca="false">IF(A78&lt;&gt;"",COUNTIFS('📋 Suspens'!E:E,A78,'📋 Suspens'!H:H,"En cours"),"")</f>
        <v/>
      </c>
      <c r="C78" s="37" t="str">
        <f aca="false">IF(A78&lt;&gt;"",COUNTIFS('📋 Suspens'!E:E,A78,'📋 Suspens'!H:H,"Cloture"),"")</f>
        <v/>
      </c>
      <c r="D78" s="37" t="str">
        <f aca="false">IF(A78&lt;&gt;"",COUNTIFS('📋 Suspens'!E:E,A78,'📋 Suspens'!H:H,"En attente"),"")</f>
        <v/>
      </c>
      <c r="E78" s="42" t="str">
        <f aca="false">IF(A78&lt;&gt;"",COUNTIF('📋 Suspens'!E:E,A78),"")</f>
        <v/>
      </c>
      <c r="F78" s="43" t="str">
        <f aca="false">IFERROR(AVERAGEIFS('📋 Suspens'!I:I,'📋 Suspens'!E:E,A78,'📋 Suspens'!H:H,"Cloture"),"")</f>
        <v/>
      </c>
      <c r="G78" s="37" t="str">
        <f aca="false">IF(A78&lt;&gt;"",COUNTIFS('📋 Suspens'!E:E,A78,'📋 Suspens'!H:H,"En cours",'📋 Suspens'!I:I,"&gt;30"),"")</f>
        <v/>
      </c>
    </row>
    <row r="79" customFormat="false" ht="21.75" hidden="false" customHeight="true" outlineLevel="0" collapsed="false">
      <c r="A79" s="28" t="str">
        <f aca="false">IF('⚙️ Parametres'!C45&lt;&gt;"",'⚙️ Parametres'!C45,"")</f>
        <v/>
      </c>
      <c r="B79" s="30" t="str">
        <f aca="false">IF(A79&lt;&gt;"",COUNTIFS('📋 Suspens'!E:E,A79,'📋 Suspens'!H:H,"En cours"),"")</f>
        <v/>
      </c>
      <c r="C79" s="30" t="str">
        <f aca="false">IF(A79&lt;&gt;"",COUNTIFS('📋 Suspens'!E:E,A79,'📋 Suspens'!H:H,"Cloture"),"")</f>
        <v/>
      </c>
      <c r="D79" s="30" t="str">
        <f aca="false">IF(A79&lt;&gt;"",COUNTIFS('📋 Suspens'!E:E,A79,'📋 Suspens'!H:H,"En attente"),"")</f>
        <v/>
      </c>
      <c r="E79" s="45" t="str">
        <f aca="false">IF(A79&lt;&gt;"",COUNTIF('📋 Suspens'!E:E,A79),"")</f>
        <v/>
      </c>
      <c r="F79" s="46" t="str">
        <f aca="false">IFERROR(AVERAGEIFS('📋 Suspens'!I:I,'📋 Suspens'!E:E,A79,'📋 Suspens'!H:H,"Cloture"),"")</f>
        <v/>
      </c>
      <c r="G79" s="30" t="str">
        <f aca="false">IF(A79&lt;&gt;"",COUNTIFS('📋 Suspens'!E:E,A79,'📋 Suspens'!H:H,"En cours",'📋 Suspens'!I:I,"&gt;30"),"")</f>
        <v/>
      </c>
    </row>
    <row r="80" customFormat="false" ht="21.75" hidden="false" customHeight="true" outlineLevel="0" collapsed="false">
      <c r="A80" s="35" t="str">
        <f aca="false">IF('⚙️ Parametres'!C46&lt;&gt;"",'⚙️ Parametres'!C46,"")</f>
        <v/>
      </c>
      <c r="B80" s="37" t="str">
        <f aca="false">IF(A80&lt;&gt;"",COUNTIFS('📋 Suspens'!E:E,A80,'📋 Suspens'!H:H,"En cours"),"")</f>
        <v/>
      </c>
      <c r="C80" s="37" t="str">
        <f aca="false">IF(A80&lt;&gt;"",COUNTIFS('📋 Suspens'!E:E,A80,'📋 Suspens'!H:H,"Cloture"),"")</f>
        <v/>
      </c>
      <c r="D80" s="37" t="str">
        <f aca="false">IF(A80&lt;&gt;"",COUNTIFS('📋 Suspens'!E:E,A80,'📋 Suspens'!H:H,"En attente"),"")</f>
        <v/>
      </c>
      <c r="E80" s="42" t="str">
        <f aca="false">IF(A80&lt;&gt;"",COUNTIF('📋 Suspens'!E:E,A80),"")</f>
        <v/>
      </c>
      <c r="F80" s="43" t="str">
        <f aca="false">IFERROR(AVERAGEIFS('📋 Suspens'!I:I,'📋 Suspens'!E:E,A80,'📋 Suspens'!H:H,"Cloture"),"")</f>
        <v/>
      </c>
      <c r="G80" s="37" t="str">
        <f aca="false">IF(A80&lt;&gt;"",COUNTIFS('📋 Suspens'!E:E,A80,'📋 Suspens'!H:H,"En cours",'📋 Suspens'!I:I,"&gt;30"),"")</f>
        <v/>
      </c>
    </row>
    <row r="81" customFormat="false" ht="21.75" hidden="false" customHeight="true" outlineLevel="0" collapsed="false">
      <c r="A81" s="28" t="str">
        <f aca="false">IF('⚙️ Parametres'!C47&lt;&gt;"",'⚙️ Parametres'!C47,"")</f>
        <v/>
      </c>
      <c r="B81" s="30" t="str">
        <f aca="false">IF(A81&lt;&gt;"",COUNTIFS('📋 Suspens'!E:E,A81,'📋 Suspens'!H:H,"En cours"),"")</f>
        <v/>
      </c>
      <c r="C81" s="30" t="str">
        <f aca="false">IF(A81&lt;&gt;"",COUNTIFS('📋 Suspens'!E:E,A81,'📋 Suspens'!H:H,"Cloture"),"")</f>
        <v/>
      </c>
      <c r="D81" s="30" t="str">
        <f aca="false">IF(A81&lt;&gt;"",COUNTIFS('📋 Suspens'!E:E,A81,'📋 Suspens'!H:H,"En attente"),"")</f>
        <v/>
      </c>
      <c r="E81" s="45" t="str">
        <f aca="false">IF(A81&lt;&gt;"",COUNTIF('📋 Suspens'!E:E,A81),"")</f>
        <v/>
      </c>
      <c r="F81" s="46" t="str">
        <f aca="false">IFERROR(AVERAGEIFS('📋 Suspens'!I:I,'📋 Suspens'!E:E,A81,'📋 Suspens'!H:H,"Cloture"),"")</f>
        <v/>
      </c>
      <c r="G81" s="30" t="str">
        <f aca="false">IF(A81&lt;&gt;"",COUNTIFS('📋 Suspens'!E:E,A81,'📋 Suspens'!H:H,"En cours",'📋 Suspens'!I:I,"&gt;30"),"")</f>
        <v/>
      </c>
    </row>
    <row r="82" customFormat="false" ht="21.75" hidden="false" customHeight="true" outlineLevel="0" collapsed="false">
      <c r="A82" s="35" t="str">
        <f aca="false">IF('⚙️ Parametres'!C48&lt;&gt;"",'⚙️ Parametres'!C48,"")</f>
        <v/>
      </c>
      <c r="B82" s="37" t="str">
        <f aca="false">IF(A82&lt;&gt;"",COUNTIFS('📋 Suspens'!E:E,A82,'📋 Suspens'!H:H,"En cours"),"")</f>
        <v/>
      </c>
      <c r="C82" s="37" t="str">
        <f aca="false">IF(A82&lt;&gt;"",COUNTIFS('📋 Suspens'!E:E,A82,'📋 Suspens'!H:H,"Cloture"),"")</f>
        <v/>
      </c>
      <c r="D82" s="37" t="str">
        <f aca="false">IF(A82&lt;&gt;"",COUNTIFS('📋 Suspens'!E:E,A82,'📋 Suspens'!H:H,"En attente"),"")</f>
        <v/>
      </c>
      <c r="E82" s="42" t="str">
        <f aca="false">IF(A82&lt;&gt;"",COUNTIF('📋 Suspens'!E:E,A82),"")</f>
        <v/>
      </c>
      <c r="F82" s="43" t="str">
        <f aca="false">IFERROR(AVERAGEIFS('📋 Suspens'!I:I,'📋 Suspens'!E:E,A82,'📋 Suspens'!H:H,"Cloture"),"")</f>
        <v/>
      </c>
      <c r="G82" s="37" t="str">
        <f aca="false">IF(A82&lt;&gt;"",COUNTIFS('📋 Suspens'!E:E,A82,'📋 Suspens'!H:H,"En cours",'📋 Suspens'!I:I,"&gt;30"),"")</f>
        <v/>
      </c>
    </row>
    <row r="83" customFormat="false" ht="21.75" hidden="false" customHeight="true" outlineLevel="0" collapsed="false">
      <c r="A83" s="28" t="str">
        <f aca="false">IF('⚙️ Parametres'!C49&lt;&gt;"",'⚙️ Parametres'!C49,"")</f>
        <v/>
      </c>
      <c r="B83" s="30" t="str">
        <f aca="false">IF(A83&lt;&gt;"",COUNTIFS('📋 Suspens'!E:E,A83,'📋 Suspens'!H:H,"En cours"),"")</f>
        <v/>
      </c>
      <c r="C83" s="30" t="str">
        <f aca="false">IF(A83&lt;&gt;"",COUNTIFS('📋 Suspens'!E:E,A83,'📋 Suspens'!H:H,"Cloture"),"")</f>
        <v/>
      </c>
      <c r="D83" s="30" t="str">
        <f aca="false">IF(A83&lt;&gt;"",COUNTIFS('📋 Suspens'!E:E,A83,'📋 Suspens'!H:H,"En attente"),"")</f>
        <v/>
      </c>
      <c r="E83" s="45" t="str">
        <f aca="false">IF(A83&lt;&gt;"",COUNTIF('📋 Suspens'!E:E,A83),"")</f>
        <v/>
      </c>
      <c r="F83" s="46" t="str">
        <f aca="false">IFERROR(AVERAGEIFS('📋 Suspens'!I:I,'📋 Suspens'!E:E,A83,'📋 Suspens'!H:H,"Cloture"),"")</f>
        <v/>
      </c>
      <c r="G83" s="30" t="str">
        <f aca="false">IF(A83&lt;&gt;"",COUNTIFS('📋 Suspens'!E:E,A83,'📋 Suspens'!H:H,"En cours",'📋 Suspens'!I:I,"&gt;30"),"")</f>
        <v/>
      </c>
    </row>
    <row r="84" customFormat="false" ht="21.75" hidden="false" customHeight="true" outlineLevel="0" collapsed="false">
      <c r="A84" s="35" t="str">
        <f aca="false">IF('⚙️ Parametres'!C50&lt;&gt;"",'⚙️ Parametres'!C50,"")</f>
        <v/>
      </c>
      <c r="B84" s="37" t="str">
        <f aca="false">IF(A84&lt;&gt;"",COUNTIFS('📋 Suspens'!E:E,A84,'📋 Suspens'!H:H,"En cours"),"")</f>
        <v/>
      </c>
      <c r="C84" s="37" t="str">
        <f aca="false">IF(A84&lt;&gt;"",COUNTIFS('📋 Suspens'!E:E,A84,'📋 Suspens'!H:H,"Cloture"),"")</f>
        <v/>
      </c>
      <c r="D84" s="37" t="str">
        <f aca="false">IF(A84&lt;&gt;"",COUNTIFS('📋 Suspens'!E:E,A84,'📋 Suspens'!H:H,"En attente"),"")</f>
        <v/>
      </c>
      <c r="E84" s="42" t="str">
        <f aca="false">IF(A84&lt;&gt;"",COUNTIF('📋 Suspens'!E:E,A84),"")</f>
        <v/>
      </c>
      <c r="F84" s="43" t="str">
        <f aca="false">IFERROR(AVERAGEIFS('📋 Suspens'!I:I,'📋 Suspens'!E:E,A84,'📋 Suspens'!H:H,"Cloture"),"")</f>
        <v/>
      </c>
      <c r="G84" s="37" t="str">
        <f aca="false">IF(A84&lt;&gt;"",COUNTIFS('📋 Suspens'!E:E,A84,'📋 Suspens'!H:H,"En cours",'📋 Suspens'!I:I,"&gt;30"),"")</f>
        <v/>
      </c>
    </row>
    <row r="85" customFormat="false" ht="21.75" hidden="false" customHeight="true" outlineLevel="0" collapsed="false">
      <c r="A85" s="28" t="str">
        <f aca="false">IF('⚙️ Parametres'!C51&lt;&gt;"",'⚙️ Parametres'!C51,"")</f>
        <v/>
      </c>
      <c r="B85" s="30" t="str">
        <f aca="false">IF(A85&lt;&gt;"",COUNTIFS('📋 Suspens'!E:E,A85,'📋 Suspens'!H:H,"En cours"),"")</f>
        <v/>
      </c>
      <c r="C85" s="30" t="str">
        <f aca="false">IF(A85&lt;&gt;"",COUNTIFS('📋 Suspens'!E:E,A85,'📋 Suspens'!H:H,"Cloture"),"")</f>
        <v/>
      </c>
      <c r="D85" s="30" t="str">
        <f aca="false">IF(A85&lt;&gt;"",COUNTIFS('📋 Suspens'!E:E,A85,'📋 Suspens'!H:H,"En attente"),"")</f>
        <v/>
      </c>
      <c r="E85" s="45" t="str">
        <f aca="false">IF(A85&lt;&gt;"",COUNTIF('📋 Suspens'!E:E,A85),"")</f>
        <v/>
      </c>
      <c r="F85" s="46" t="str">
        <f aca="false">IFERROR(AVERAGEIFS('📋 Suspens'!I:I,'📋 Suspens'!E:E,A85,'📋 Suspens'!H:H,"Cloture"),"")</f>
        <v/>
      </c>
      <c r="G85" s="30" t="str">
        <f aca="false">IF(A85&lt;&gt;"",COUNTIFS('📋 Suspens'!E:E,A85,'📋 Suspens'!H:H,"En cours",'📋 Suspens'!I:I,"&gt;30"),"")</f>
        <v/>
      </c>
    </row>
    <row r="86" customFormat="false" ht="18" hidden="false" customHeight="true" outlineLevel="0" collapsed="false">
      <c r="A86" s="49" t="s">
        <v>94</v>
      </c>
    </row>
  </sheetData>
  <mergeCells count="3">
    <mergeCell ref="A1:G1"/>
    <mergeCell ref="A3:G3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A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1" min="1" style="1" width="4.5"/>
  </cols>
  <sheetData>
    <row r="1" customFormat="false" ht="39.75" hidden="false" customHeight="true" outlineLevel="0" collapsed="false">
      <c r="A1" s="50" t="s">
        <v>95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 customFormat="false" ht="4.5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customFormat="false" ht="24.75" hidden="false" customHeight="true" outlineLevel="0" collapsed="false">
      <c r="A3" s="51" t="s">
        <v>96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P3" s="52" t="s">
        <v>97</v>
      </c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</row>
    <row r="23" customFormat="false" ht="24.75" hidden="false" customHeight="true" outlineLevel="0" collapsed="false">
      <c r="A23" s="53" t="s">
        <v>98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P23" s="54" t="s">
        <v>99</v>
      </c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</row>
    <row r="44" customFormat="false" ht="19.5" hidden="false" customHeight="true" outlineLevel="0" collapsed="false">
      <c r="A44" s="55" t="s">
        <v>100</v>
      </c>
      <c r="B44" s="55"/>
      <c r="C44" s="55"/>
      <c r="D44" s="55"/>
      <c r="E44" s="55"/>
      <c r="F44" s="55"/>
      <c r="G44" s="55"/>
      <c r="H44" s="55"/>
      <c r="I44" s="55"/>
      <c r="J44" s="55"/>
      <c r="K44" s="55" t="s">
        <v>101</v>
      </c>
      <c r="L44" s="55"/>
      <c r="N44" s="55" t="s">
        <v>102</v>
      </c>
      <c r="O44" s="55"/>
      <c r="P44" s="55"/>
      <c r="Q44" s="55"/>
      <c r="R44" s="55" t="s">
        <v>101</v>
      </c>
      <c r="S44" s="55"/>
    </row>
    <row r="45" customFormat="false" ht="15" hidden="false" customHeight="true" outlineLevel="0" collapsed="false">
      <c r="A45" s="56" t="str">
        <f aca="false">IFERROR(INDEX('📊 Statistiques'!$A$5:$A$31,MATCH(LARGE('📊 Statistiques'!$B$5:$B$31,1),'📊 Statistiques'!$B$5:$B$31,0)),"")</f>
        <v>Absence de CREDAPP</v>
      </c>
      <c r="K45" s="57" t="n">
        <f aca="false">IFERROR(LARGE('📊 Statistiques'!$B$5:$B$31,1),0)</f>
        <v>0</v>
      </c>
      <c r="N45" s="56" t="s">
        <v>103</v>
      </c>
      <c r="R45" s="57" t="n">
        <f aca="false">COUNTIF('📋 Suspens'!H:H,"En cours")</f>
        <v>0</v>
      </c>
    </row>
    <row r="46" customFormat="false" ht="15" hidden="false" customHeight="true" outlineLevel="0" collapsed="false">
      <c r="A46" s="56" t="str">
        <f aca="false">IFERROR(INDEX('📊 Statistiques'!$A$5:$A$31,MATCH(LARGE('📊 Statistiques'!$B$5:$B$31,2),'📊 Statistiques'!$B$5:$B$31,0)),"")</f>
        <v>Absence de CREDAPP</v>
      </c>
      <c r="K46" s="57" t="n">
        <f aca="false">IFERROR(LARGE('📊 Statistiques'!$B$5:$B$31,2),0)</f>
        <v>0</v>
      </c>
      <c r="N46" s="56" t="s">
        <v>104</v>
      </c>
      <c r="R46" s="57" t="n">
        <f aca="false">COUNTIF('📋 Suspens'!H:H,"Cloture")</f>
        <v>0</v>
      </c>
    </row>
    <row r="47" customFormat="false" ht="15" hidden="false" customHeight="true" outlineLevel="0" collapsed="false">
      <c r="A47" s="56" t="str">
        <f aca="false">IFERROR(INDEX('📊 Statistiques'!$A$5:$A$31,MATCH(LARGE('📊 Statistiques'!$B$5:$B$31,3),'📊 Statistiques'!$B$5:$B$31,0)),"")</f>
        <v>Absence de CREDAPP</v>
      </c>
      <c r="K47" s="57" t="n">
        <f aca="false">IFERROR(LARGE('📊 Statistiques'!$B$5:$B$31,3),0)</f>
        <v>0</v>
      </c>
      <c r="N47" s="56" t="s">
        <v>105</v>
      </c>
      <c r="R47" s="57" t="n">
        <f aca="false">COUNTIF('📋 Suspens'!H:H,"En attente")</f>
        <v>0</v>
      </c>
    </row>
    <row r="48" customFormat="false" ht="15" hidden="false" customHeight="true" outlineLevel="0" collapsed="false">
      <c r="A48" s="56" t="str">
        <f aca="false">IFERROR(INDEX('📊 Statistiques'!$A$5:$A$31,MATCH(LARGE('📊 Statistiques'!$B$5:$B$31,4),'📊 Statistiques'!$B$5:$B$31,0)),"")</f>
        <v>Absence de CREDAPP</v>
      </c>
      <c r="K48" s="57" t="n">
        <f aca="false">IFERROR(LARGE('📊 Statistiques'!$B$5:$B$31,4),0)</f>
        <v>0</v>
      </c>
    </row>
    <row r="49" customFormat="false" ht="15" hidden="false" customHeight="true" outlineLevel="0" collapsed="false">
      <c r="A49" s="56" t="str">
        <f aca="false">IFERROR(INDEX('📊 Statistiques'!$A$5:$A$31,MATCH(LARGE('📊 Statistiques'!$B$5:$B$31,5),'📊 Statistiques'!$B$5:$B$31,0)),"")</f>
        <v>Absence de CREDAPP</v>
      </c>
      <c r="K49" s="57" t="n">
        <f aca="false">IFERROR(LARGE('📊 Statistiques'!$B$5:$B$31,5),0)</f>
        <v>0</v>
      </c>
    </row>
    <row r="50" customFormat="false" ht="15" hidden="false" customHeight="true" outlineLevel="0" collapsed="false">
      <c r="A50" s="56" t="str">
        <f aca="false">IFERROR(INDEX('📊 Statistiques'!$A$5:$A$31,MATCH(LARGE('📊 Statistiques'!$B$5:$B$31,6),'📊 Statistiques'!$B$5:$B$31,0)),"")</f>
        <v>Absence de CREDAPP</v>
      </c>
      <c r="K50" s="57" t="n">
        <f aca="false">IFERROR(LARGE('📊 Statistiques'!$B$5:$B$31,6),0)</f>
        <v>0</v>
      </c>
    </row>
    <row r="51" customFormat="false" ht="15" hidden="false" customHeight="true" outlineLevel="0" collapsed="false">
      <c r="A51" s="56" t="str">
        <f aca="false">IFERROR(INDEX('📊 Statistiques'!$A$5:$A$31,MATCH(LARGE('📊 Statistiques'!$B$5:$B$31,7),'📊 Statistiques'!$B$5:$B$31,0)),"")</f>
        <v>Absence de CREDAPP</v>
      </c>
      <c r="K51" s="57" t="n">
        <f aca="false">IFERROR(LARGE('📊 Statistiques'!$B$5:$B$31,7),0)</f>
        <v>0</v>
      </c>
    </row>
    <row r="52" customFormat="false" ht="15" hidden="false" customHeight="true" outlineLevel="0" collapsed="false">
      <c r="A52" s="56" t="str">
        <f aca="false">IFERROR(INDEX('📊 Statistiques'!$A$5:$A$31,MATCH(LARGE('📊 Statistiques'!$B$5:$B$31,8),'📊 Statistiques'!$B$5:$B$31,0)),"")</f>
        <v>Absence de CREDAPP</v>
      </c>
      <c r="K52" s="57" t="n">
        <f aca="false">IFERROR(LARGE('📊 Statistiques'!$B$5:$B$31,8),0)</f>
        <v>0</v>
      </c>
    </row>
    <row r="53" customFormat="false" ht="15" hidden="false" customHeight="true" outlineLevel="0" collapsed="false">
      <c r="A53" s="56" t="str">
        <f aca="false">IFERROR(INDEX('📊 Statistiques'!$A$5:$A$31,MATCH(LARGE('📊 Statistiques'!$B$5:$B$31,9),'📊 Statistiques'!$B$5:$B$31,0)),"")</f>
        <v>Absence de CREDAPP</v>
      </c>
      <c r="K53" s="57" t="n">
        <f aca="false">IFERROR(LARGE('📊 Statistiques'!$B$5:$B$31,9),0)</f>
        <v>0</v>
      </c>
    </row>
    <row r="54" customFormat="false" ht="15" hidden="false" customHeight="true" outlineLevel="0" collapsed="false">
      <c r="A54" s="56" t="str">
        <f aca="false">IFERROR(INDEX('📊 Statistiques'!$A$5:$A$31,MATCH(LARGE('📊 Statistiques'!$B$5:$B$31,10),'📊 Statistiques'!$B$5:$B$31,0)),"")</f>
        <v>Absence de CREDAPP</v>
      </c>
      <c r="K54" s="57" t="n">
        <f aca="false">IFERROR(LARGE('📊 Statistiques'!$B$5:$B$31,10),0)</f>
        <v>0</v>
      </c>
    </row>
  </sheetData>
  <mergeCells count="10">
    <mergeCell ref="A1:AE1"/>
    <mergeCell ref="A2:AE2"/>
    <mergeCell ref="A3:N3"/>
    <mergeCell ref="P3:AE3"/>
    <mergeCell ref="A23:N23"/>
    <mergeCell ref="P23:AE23"/>
    <mergeCell ref="A44:J44"/>
    <mergeCell ref="K44:L44"/>
    <mergeCell ref="N44:Q44"/>
    <mergeCell ref="R44:S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4" min="2" style="1" width="14"/>
  </cols>
  <sheetData>
    <row r="1" customFormat="false" ht="34.5" hidden="false" customHeight="true" outlineLevel="0" collapsed="false">
      <c r="A1" s="58" t="s">
        <v>106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customFormat="false" ht="7.5" hidden="false" customHeight="true" outlineLevel="0" collapsed="false"/>
    <row r="3" customFormat="false" ht="30" hidden="false" customHeight="true" outlineLevel="0" collapsed="false">
      <c r="A3" s="59" t="s">
        <v>107</v>
      </c>
      <c r="B3" s="60" t="s">
        <v>108</v>
      </c>
      <c r="C3" s="60" t="s">
        <v>109</v>
      </c>
      <c r="D3" s="60" t="s">
        <v>110</v>
      </c>
      <c r="E3" s="60" t="s">
        <v>111</v>
      </c>
      <c r="F3" s="60" t="s">
        <v>112</v>
      </c>
      <c r="G3" s="60" t="s">
        <v>113</v>
      </c>
      <c r="H3" s="60" t="s">
        <v>114</v>
      </c>
      <c r="I3" s="60" t="s">
        <v>115</v>
      </c>
      <c r="J3" s="60" t="s">
        <v>116</v>
      </c>
      <c r="K3" s="60" t="s">
        <v>117</v>
      </c>
      <c r="L3" s="60" t="s">
        <v>118</v>
      </c>
      <c r="M3" s="60" t="s">
        <v>119</v>
      </c>
    </row>
    <row r="4" customFormat="false" ht="25.5" hidden="false" customHeight="true" outlineLevel="0" collapsed="false">
      <c r="A4" s="61" t="s">
        <v>120</v>
      </c>
      <c r="B4" s="37" t="n">
        <f aca="false">COUNTIFS('📋 Suspens'!O:O,"January 2026")</f>
        <v>0</v>
      </c>
      <c r="C4" s="37" t="n">
        <f aca="false">COUNTIFS('📋 Suspens'!O:O,"February 2026")</f>
        <v>0</v>
      </c>
      <c r="D4" s="37" t="n">
        <f aca="false">COUNTIFS('📋 Suspens'!O:O,"March 2026")</f>
        <v>0</v>
      </c>
      <c r="E4" s="37" t="n">
        <f aca="false">COUNTIFS('📋 Suspens'!O:O,"April 2026")</f>
        <v>0</v>
      </c>
      <c r="F4" s="37" t="n">
        <f aca="false">COUNTIFS('📋 Suspens'!O:O,"May 2026")</f>
        <v>0</v>
      </c>
      <c r="G4" s="37" t="n">
        <f aca="false">COUNTIFS('📋 Suspens'!O:O,"June 2026")</f>
        <v>0</v>
      </c>
      <c r="H4" s="37" t="n">
        <f aca="false">COUNTIFS('📋 Suspens'!O:O,"July 2026")</f>
        <v>0</v>
      </c>
      <c r="I4" s="37" t="n">
        <f aca="false">COUNTIFS('📋 Suspens'!O:O,"August 2026")</f>
        <v>0</v>
      </c>
      <c r="J4" s="37" t="n">
        <f aca="false">COUNTIFS('📋 Suspens'!O:O,"September 2026")</f>
        <v>0</v>
      </c>
      <c r="K4" s="37" t="n">
        <f aca="false">COUNTIFS('📋 Suspens'!O:O,"October 2026")</f>
        <v>0</v>
      </c>
      <c r="L4" s="37" t="n">
        <f aca="false">COUNTIFS('📋 Suspens'!O:O,"November 2026")</f>
        <v>0</v>
      </c>
      <c r="M4" s="37" t="n">
        <f aca="false">COUNTIFS('📋 Suspens'!O:O,"December 2026")</f>
        <v>0</v>
      </c>
    </row>
    <row r="5" customFormat="false" ht="25.5" hidden="false" customHeight="true" outlineLevel="0" collapsed="false">
      <c r="A5" s="28" t="s">
        <v>121</v>
      </c>
      <c r="B5" s="30" t="n">
        <f aca="false">COUNTIFS('📋 Suspens'!O:O,"January 2026",'📋 Suspens'!H:H,"Cloture")</f>
        <v>0</v>
      </c>
      <c r="C5" s="30" t="n">
        <f aca="false">COUNTIFS('📋 Suspens'!O:O,"February 2026",'📋 Suspens'!H:H,"Cloture")</f>
        <v>0</v>
      </c>
      <c r="D5" s="30" t="n">
        <f aca="false">COUNTIFS('📋 Suspens'!O:O,"March 2026",'📋 Suspens'!H:H,"Cloture")</f>
        <v>0</v>
      </c>
      <c r="E5" s="30" t="n">
        <f aca="false">COUNTIFS('📋 Suspens'!O:O,"April 2026",'📋 Suspens'!H:H,"Cloture")</f>
        <v>0</v>
      </c>
      <c r="F5" s="30" t="n">
        <f aca="false">COUNTIFS('📋 Suspens'!O:O,"May 2026",'📋 Suspens'!H:H,"Cloture")</f>
        <v>0</v>
      </c>
      <c r="G5" s="30" t="n">
        <f aca="false">COUNTIFS('📋 Suspens'!O:O,"June 2026",'📋 Suspens'!H:H,"Cloture")</f>
        <v>0</v>
      </c>
      <c r="H5" s="30" t="n">
        <f aca="false">COUNTIFS('📋 Suspens'!O:O,"July 2026",'📋 Suspens'!H:H,"Cloture")</f>
        <v>0</v>
      </c>
      <c r="I5" s="30" t="n">
        <f aca="false">COUNTIFS('📋 Suspens'!O:O,"August 2026",'📋 Suspens'!H:H,"Cloture")</f>
        <v>0</v>
      </c>
      <c r="J5" s="30" t="n">
        <f aca="false">COUNTIFS('📋 Suspens'!O:O,"September 2026",'📋 Suspens'!H:H,"Cloture")</f>
        <v>0</v>
      </c>
      <c r="K5" s="30" t="n">
        <f aca="false">COUNTIFS('📋 Suspens'!O:O,"October 2026",'📋 Suspens'!H:H,"Cloture")</f>
        <v>0</v>
      </c>
      <c r="L5" s="30" t="n">
        <f aca="false">COUNTIFS('📋 Suspens'!O:O,"November 2026",'📋 Suspens'!H:H,"Cloture")</f>
        <v>0</v>
      </c>
      <c r="M5" s="30" t="n">
        <f aca="false">COUNTIFS('📋 Suspens'!O:O,"December 2026",'📋 Suspens'!H:H,"Cloture")</f>
        <v>0</v>
      </c>
    </row>
    <row r="6" customFormat="false" ht="25.5" hidden="false" customHeight="true" outlineLevel="0" collapsed="false">
      <c r="A6" s="35" t="s">
        <v>122</v>
      </c>
      <c r="B6" s="43" t="str">
        <f aca="false">IFERROR(AVERAGEIFS('📋 Suspens'!I:I,'📋 Suspens'!O:O,"January 2026",'📋 Suspens'!H:H,"Cloture"),"")</f>
        <v/>
      </c>
      <c r="C6" s="43" t="str">
        <f aca="false">IFERROR(AVERAGEIFS('📋 Suspens'!I:I,'📋 Suspens'!O:O,"February 2026",'📋 Suspens'!H:H,"Cloture"),"")</f>
        <v/>
      </c>
      <c r="D6" s="43" t="str">
        <f aca="false">IFERROR(AVERAGEIFS('📋 Suspens'!I:I,'📋 Suspens'!O:O,"March 2026",'📋 Suspens'!H:H,"Cloture"),"")</f>
        <v/>
      </c>
      <c r="E6" s="43" t="str">
        <f aca="false">IFERROR(AVERAGEIFS('📋 Suspens'!I:I,'📋 Suspens'!O:O,"April 2026",'📋 Suspens'!H:H,"Cloture"),"")</f>
        <v/>
      </c>
      <c r="F6" s="43" t="str">
        <f aca="false">IFERROR(AVERAGEIFS('📋 Suspens'!I:I,'📋 Suspens'!O:O,"May 2026",'📋 Suspens'!H:H,"Cloture"),"")</f>
        <v/>
      </c>
      <c r="G6" s="43" t="str">
        <f aca="false">IFERROR(AVERAGEIFS('📋 Suspens'!I:I,'📋 Suspens'!O:O,"June 2026",'📋 Suspens'!H:H,"Cloture"),"")</f>
        <v/>
      </c>
      <c r="H6" s="43" t="str">
        <f aca="false">IFERROR(AVERAGEIFS('📋 Suspens'!I:I,'📋 Suspens'!O:O,"July 2026",'📋 Suspens'!H:H,"Cloture"),"")</f>
        <v/>
      </c>
      <c r="I6" s="43" t="str">
        <f aca="false">IFERROR(AVERAGEIFS('📋 Suspens'!I:I,'📋 Suspens'!O:O,"August 2026",'📋 Suspens'!H:H,"Cloture"),"")</f>
        <v/>
      </c>
      <c r="J6" s="43" t="str">
        <f aca="false">IFERROR(AVERAGEIFS('📋 Suspens'!I:I,'📋 Suspens'!O:O,"September 2026",'📋 Suspens'!H:H,"Cloture"),"")</f>
        <v/>
      </c>
      <c r="K6" s="43" t="str">
        <f aca="false">IFERROR(AVERAGEIFS('📋 Suspens'!I:I,'📋 Suspens'!O:O,"October 2026",'📋 Suspens'!H:H,"Cloture"),"")</f>
        <v/>
      </c>
      <c r="L6" s="43" t="str">
        <f aca="false">IFERROR(AVERAGEIFS('📋 Suspens'!I:I,'📋 Suspens'!O:O,"November 2026",'📋 Suspens'!H:H,"Cloture"),"")</f>
        <v/>
      </c>
      <c r="M6" s="43" t="str">
        <f aca="false">IFERROR(AVERAGEIFS('📋 Suspens'!I:I,'📋 Suspens'!O:O,"December 2026",'📋 Suspens'!H:H,"Cloture"),"")</f>
        <v/>
      </c>
    </row>
    <row r="7" customFormat="false" ht="25.5" hidden="false" customHeight="true" outlineLevel="0" collapsed="false">
      <c r="A7" s="28" t="s">
        <v>123</v>
      </c>
      <c r="B7" s="30" t="n">
        <f aca="false">COUNTIFS('📋 Suspens'!O:O,"January 2026",'📋 Suspens'!H:H,"En cours",'📋 Suspens'!I:I,"&gt;30")</f>
        <v>0</v>
      </c>
      <c r="C7" s="30" t="n">
        <f aca="false">COUNTIFS('📋 Suspens'!O:O,"February 2026",'📋 Suspens'!H:H,"En cours",'📋 Suspens'!I:I,"&gt;30")</f>
        <v>0</v>
      </c>
      <c r="D7" s="30" t="n">
        <f aca="false">COUNTIFS('📋 Suspens'!O:O,"March 2026",'📋 Suspens'!H:H,"En cours",'📋 Suspens'!I:I,"&gt;30")</f>
        <v>0</v>
      </c>
      <c r="E7" s="30" t="n">
        <f aca="false">COUNTIFS('📋 Suspens'!O:O,"April 2026",'📋 Suspens'!H:H,"En cours",'📋 Suspens'!I:I,"&gt;30")</f>
        <v>0</v>
      </c>
      <c r="F7" s="30" t="n">
        <f aca="false">COUNTIFS('📋 Suspens'!O:O,"May 2026",'📋 Suspens'!H:H,"En cours",'📋 Suspens'!I:I,"&gt;30")</f>
        <v>0</v>
      </c>
      <c r="G7" s="30" t="n">
        <f aca="false">COUNTIFS('📋 Suspens'!O:O,"June 2026",'📋 Suspens'!H:H,"En cours",'📋 Suspens'!I:I,"&gt;30")</f>
        <v>0</v>
      </c>
      <c r="H7" s="30" t="n">
        <f aca="false">COUNTIFS('📋 Suspens'!O:O,"July 2026",'📋 Suspens'!H:H,"En cours",'📋 Suspens'!I:I,"&gt;30")</f>
        <v>0</v>
      </c>
      <c r="I7" s="30" t="n">
        <f aca="false">COUNTIFS('📋 Suspens'!O:O,"August 2026",'📋 Suspens'!H:H,"En cours",'📋 Suspens'!I:I,"&gt;30")</f>
        <v>0</v>
      </c>
      <c r="J7" s="30" t="n">
        <f aca="false">COUNTIFS('📋 Suspens'!O:O,"September 2026",'📋 Suspens'!H:H,"En cours",'📋 Suspens'!I:I,"&gt;30")</f>
        <v>0</v>
      </c>
      <c r="K7" s="30" t="n">
        <f aca="false">COUNTIFS('📋 Suspens'!O:O,"October 2026",'📋 Suspens'!H:H,"En cours",'📋 Suspens'!I:I,"&gt;30")</f>
        <v>0</v>
      </c>
      <c r="L7" s="30" t="n">
        <f aca="false">COUNTIFS('📋 Suspens'!O:O,"November 2026",'📋 Suspens'!H:H,"En cours",'📋 Suspens'!I:I,"&gt;30")</f>
        <v>0</v>
      </c>
      <c r="M7" s="30" t="n">
        <f aca="false">COUNTIFS('📋 Suspens'!O:O,"December 2026",'📋 Suspens'!H:H,"En cours",'📋 Suspens'!I:I,"&gt;30")</f>
        <v>0</v>
      </c>
    </row>
    <row r="9" customFormat="false" ht="7.5" hidden="false" customHeight="true" outlineLevel="0" collapsed="false"/>
    <row r="10" customFormat="false" ht="24.75" hidden="false" customHeight="true" outlineLevel="0" collapsed="false">
      <c r="A10" s="62" t="s">
        <v>124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</row>
    <row r="11" customFormat="false" ht="24.75" hidden="false" customHeight="true" outlineLevel="0" collapsed="false">
      <c r="A11" s="63" t="s">
        <v>21</v>
      </c>
      <c r="B11" s="64" t="s">
        <v>108</v>
      </c>
      <c r="C11" s="64" t="s">
        <v>109</v>
      </c>
      <c r="D11" s="64" t="s">
        <v>110</v>
      </c>
      <c r="E11" s="64" t="s">
        <v>111</v>
      </c>
      <c r="F11" s="64" t="s">
        <v>112</v>
      </c>
      <c r="G11" s="64" t="s">
        <v>113</v>
      </c>
      <c r="H11" s="64" t="s">
        <v>114</v>
      </c>
      <c r="I11" s="64" t="s">
        <v>115</v>
      </c>
      <c r="J11" s="64" t="s">
        <v>116</v>
      </c>
      <c r="K11" s="64" t="s">
        <v>117</v>
      </c>
      <c r="L11" s="64" t="s">
        <v>118</v>
      </c>
      <c r="M11" s="64" t="s">
        <v>119</v>
      </c>
    </row>
    <row r="12" customFormat="false" ht="21.75" hidden="false" customHeight="true" outlineLevel="0" collapsed="false">
      <c r="A12" s="61" t="str">
        <f aca="false">IF('⚙️ Parametres'!C2&lt;&gt;"",'⚙️ Parametres'!C2,"")</f>
        <v>ANALYSTES (mis a jour depuis Access)</v>
      </c>
      <c r="B12" s="37" t="n">
        <f aca="false">IF(A12&lt;&gt;"",COUNTIFS('📋 Suspens'!E:E,A12,'📋 Suspens'!O:O,"January 2026"),"")</f>
        <v>0</v>
      </c>
      <c r="C12" s="37" t="n">
        <f aca="false">IF(A12&lt;&gt;"",COUNTIFS('📋 Suspens'!E:E,A12,'📋 Suspens'!O:O,"February 2026"),"")</f>
        <v>0</v>
      </c>
      <c r="D12" s="37" t="n">
        <f aca="false">IF(A12&lt;&gt;"",COUNTIFS('📋 Suspens'!E:E,A12,'📋 Suspens'!O:O,"March 2026"),"")</f>
        <v>0</v>
      </c>
      <c r="E12" s="37" t="n">
        <f aca="false">IF(A12&lt;&gt;"",COUNTIFS('📋 Suspens'!E:E,A12,'📋 Suspens'!O:O,"April 2026"),"")</f>
        <v>0</v>
      </c>
      <c r="F12" s="37" t="n">
        <f aca="false">IF(A12&lt;&gt;"",COUNTIFS('📋 Suspens'!E:E,A12,'📋 Suspens'!O:O,"May 2026"),"")</f>
        <v>0</v>
      </c>
      <c r="G12" s="37" t="n">
        <f aca="false">IF(A12&lt;&gt;"",COUNTIFS('📋 Suspens'!E:E,A12,'📋 Suspens'!O:O,"June 2026"),"")</f>
        <v>0</v>
      </c>
      <c r="H12" s="37" t="n">
        <f aca="false">IF(A12&lt;&gt;"",COUNTIFS('📋 Suspens'!E:E,A12,'📋 Suspens'!O:O,"July 2026"),"")</f>
        <v>0</v>
      </c>
      <c r="I12" s="37" t="n">
        <f aca="false">IF(A12&lt;&gt;"",COUNTIFS('📋 Suspens'!E:E,A12,'📋 Suspens'!O:O,"August 2026"),"")</f>
        <v>0</v>
      </c>
      <c r="J12" s="37" t="n">
        <f aca="false">IF(A12&lt;&gt;"",COUNTIFS('📋 Suspens'!E:E,A12,'📋 Suspens'!O:O,"September 2026"),"")</f>
        <v>0</v>
      </c>
      <c r="K12" s="37" t="n">
        <f aca="false">IF(A12&lt;&gt;"",COUNTIFS('📋 Suspens'!E:E,A12,'📋 Suspens'!O:O,"October 2026"),"")</f>
        <v>0</v>
      </c>
      <c r="L12" s="37" t="n">
        <f aca="false">IF(A12&lt;&gt;"",COUNTIFS('📋 Suspens'!E:E,A12,'📋 Suspens'!O:O,"November 2026"),"")</f>
        <v>0</v>
      </c>
      <c r="M12" s="37" t="n">
        <f aca="false">IF(A12&lt;&gt;"",COUNTIFS('📋 Suspens'!E:E,A12,'📋 Suspens'!O:O,"December 2026"),"")</f>
        <v>0</v>
      </c>
    </row>
    <row r="13" customFormat="false" ht="21.75" hidden="false" customHeight="true" outlineLevel="0" collapsed="false">
      <c r="A13" s="65" t="str">
        <f aca="false">IF('⚙️ Parametres'!C3&lt;&gt;"",'⚙️ Parametres'!C3,"")</f>
        <v/>
      </c>
      <c r="B13" s="30" t="str">
        <f aca="false">IF(A13&lt;&gt;"",COUNTIFS('📋 Suspens'!E:E,A13,'📋 Suspens'!O:O,"January 2026"),"")</f>
        <v/>
      </c>
      <c r="C13" s="30" t="str">
        <f aca="false">IF(A13&lt;&gt;"",COUNTIFS('📋 Suspens'!E:E,A13,'📋 Suspens'!O:O,"February 2026"),"")</f>
        <v/>
      </c>
      <c r="D13" s="30" t="str">
        <f aca="false">IF(A13&lt;&gt;"",COUNTIFS('📋 Suspens'!E:E,A13,'📋 Suspens'!O:O,"March 2026"),"")</f>
        <v/>
      </c>
      <c r="E13" s="30" t="str">
        <f aca="false">IF(A13&lt;&gt;"",COUNTIFS('📋 Suspens'!E:E,A13,'📋 Suspens'!O:O,"April 2026"),"")</f>
        <v/>
      </c>
      <c r="F13" s="30" t="str">
        <f aca="false">IF(A13&lt;&gt;"",COUNTIFS('📋 Suspens'!E:E,A13,'📋 Suspens'!O:O,"May 2026"),"")</f>
        <v/>
      </c>
      <c r="G13" s="30" t="str">
        <f aca="false">IF(A13&lt;&gt;"",COUNTIFS('📋 Suspens'!E:E,A13,'📋 Suspens'!O:O,"June 2026"),"")</f>
        <v/>
      </c>
      <c r="H13" s="30" t="str">
        <f aca="false">IF(A13&lt;&gt;"",COUNTIFS('📋 Suspens'!E:E,A13,'📋 Suspens'!O:O,"July 2026"),"")</f>
        <v/>
      </c>
      <c r="I13" s="30" t="str">
        <f aca="false">IF(A13&lt;&gt;"",COUNTIFS('📋 Suspens'!E:E,A13,'📋 Suspens'!O:O,"August 2026"),"")</f>
        <v/>
      </c>
      <c r="J13" s="30" t="str">
        <f aca="false">IF(A13&lt;&gt;"",COUNTIFS('📋 Suspens'!E:E,A13,'📋 Suspens'!O:O,"September 2026"),"")</f>
        <v/>
      </c>
      <c r="K13" s="30" t="str">
        <f aca="false">IF(A13&lt;&gt;"",COUNTIFS('📋 Suspens'!E:E,A13,'📋 Suspens'!O:O,"October 2026"),"")</f>
        <v/>
      </c>
      <c r="L13" s="30" t="str">
        <f aca="false">IF(A13&lt;&gt;"",COUNTIFS('📋 Suspens'!E:E,A13,'📋 Suspens'!O:O,"November 2026"),"")</f>
        <v/>
      </c>
      <c r="M13" s="30" t="str">
        <f aca="false">IF(A13&lt;&gt;"",COUNTIFS('📋 Suspens'!E:E,A13,'📋 Suspens'!O:O,"December 2026"),"")</f>
        <v/>
      </c>
    </row>
    <row r="14" customFormat="false" ht="21.75" hidden="false" customHeight="true" outlineLevel="0" collapsed="false">
      <c r="A14" s="61" t="str">
        <f aca="false">IF('⚙️ Parametres'!C4&lt;&gt;"",'⚙️ Parametres'!C4,"")</f>
        <v/>
      </c>
      <c r="B14" s="37" t="str">
        <f aca="false">IF(A14&lt;&gt;"",COUNTIFS('📋 Suspens'!E:E,A14,'📋 Suspens'!O:O,"January 2026"),"")</f>
        <v/>
      </c>
      <c r="C14" s="37" t="str">
        <f aca="false">IF(A14&lt;&gt;"",COUNTIFS('📋 Suspens'!E:E,A14,'📋 Suspens'!O:O,"February 2026"),"")</f>
        <v/>
      </c>
      <c r="D14" s="37" t="str">
        <f aca="false">IF(A14&lt;&gt;"",COUNTIFS('📋 Suspens'!E:E,A14,'📋 Suspens'!O:O,"March 2026"),"")</f>
        <v/>
      </c>
      <c r="E14" s="37" t="str">
        <f aca="false">IF(A14&lt;&gt;"",COUNTIFS('📋 Suspens'!E:E,A14,'📋 Suspens'!O:O,"April 2026"),"")</f>
        <v/>
      </c>
      <c r="F14" s="37" t="str">
        <f aca="false">IF(A14&lt;&gt;"",COUNTIFS('📋 Suspens'!E:E,A14,'📋 Suspens'!O:O,"May 2026"),"")</f>
        <v/>
      </c>
      <c r="G14" s="37" t="str">
        <f aca="false">IF(A14&lt;&gt;"",COUNTIFS('📋 Suspens'!E:E,A14,'📋 Suspens'!O:O,"June 2026"),"")</f>
        <v/>
      </c>
      <c r="H14" s="37" t="str">
        <f aca="false">IF(A14&lt;&gt;"",COUNTIFS('📋 Suspens'!E:E,A14,'📋 Suspens'!O:O,"July 2026"),"")</f>
        <v/>
      </c>
      <c r="I14" s="37" t="str">
        <f aca="false">IF(A14&lt;&gt;"",COUNTIFS('📋 Suspens'!E:E,A14,'📋 Suspens'!O:O,"August 2026"),"")</f>
        <v/>
      </c>
      <c r="J14" s="37" t="str">
        <f aca="false">IF(A14&lt;&gt;"",COUNTIFS('📋 Suspens'!E:E,A14,'📋 Suspens'!O:O,"September 2026"),"")</f>
        <v/>
      </c>
      <c r="K14" s="37" t="str">
        <f aca="false">IF(A14&lt;&gt;"",COUNTIFS('📋 Suspens'!E:E,A14,'📋 Suspens'!O:O,"October 2026"),"")</f>
        <v/>
      </c>
      <c r="L14" s="37" t="str">
        <f aca="false">IF(A14&lt;&gt;"",COUNTIFS('📋 Suspens'!E:E,A14,'📋 Suspens'!O:O,"November 2026"),"")</f>
        <v/>
      </c>
      <c r="M14" s="37" t="str">
        <f aca="false">IF(A14&lt;&gt;"",COUNTIFS('📋 Suspens'!E:E,A14,'📋 Suspens'!O:O,"December 2026"),"")</f>
        <v/>
      </c>
    </row>
    <row r="15" customFormat="false" ht="21.75" hidden="false" customHeight="true" outlineLevel="0" collapsed="false">
      <c r="A15" s="65" t="str">
        <f aca="false">IF('⚙️ Parametres'!C5&lt;&gt;"",'⚙️ Parametres'!C5,"")</f>
        <v/>
      </c>
      <c r="B15" s="30" t="str">
        <f aca="false">IF(A15&lt;&gt;"",COUNTIFS('📋 Suspens'!E:E,A15,'📋 Suspens'!O:O,"January 2026"),"")</f>
        <v/>
      </c>
      <c r="C15" s="30" t="str">
        <f aca="false">IF(A15&lt;&gt;"",COUNTIFS('📋 Suspens'!E:E,A15,'📋 Suspens'!O:O,"February 2026"),"")</f>
        <v/>
      </c>
      <c r="D15" s="30" t="str">
        <f aca="false">IF(A15&lt;&gt;"",COUNTIFS('📋 Suspens'!E:E,A15,'📋 Suspens'!O:O,"March 2026"),"")</f>
        <v/>
      </c>
      <c r="E15" s="30" t="str">
        <f aca="false">IF(A15&lt;&gt;"",COUNTIFS('📋 Suspens'!E:E,A15,'📋 Suspens'!O:O,"April 2026"),"")</f>
        <v/>
      </c>
      <c r="F15" s="30" t="str">
        <f aca="false">IF(A15&lt;&gt;"",COUNTIFS('📋 Suspens'!E:E,A15,'📋 Suspens'!O:O,"May 2026"),"")</f>
        <v/>
      </c>
      <c r="G15" s="30" t="str">
        <f aca="false">IF(A15&lt;&gt;"",COUNTIFS('📋 Suspens'!E:E,A15,'📋 Suspens'!O:O,"June 2026"),"")</f>
        <v/>
      </c>
      <c r="H15" s="30" t="str">
        <f aca="false">IF(A15&lt;&gt;"",COUNTIFS('📋 Suspens'!E:E,A15,'📋 Suspens'!O:O,"July 2026"),"")</f>
        <v/>
      </c>
      <c r="I15" s="30" t="str">
        <f aca="false">IF(A15&lt;&gt;"",COUNTIFS('📋 Suspens'!E:E,A15,'📋 Suspens'!O:O,"August 2026"),"")</f>
        <v/>
      </c>
      <c r="J15" s="30" t="str">
        <f aca="false">IF(A15&lt;&gt;"",COUNTIFS('📋 Suspens'!E:E,A15,'📋 Suspens'!O:O,"September 2026"),"")</f>
        <v/>
      </c>
      <c r="K15" s="30" t="str">
        <f aca="false">IF(A15&lt;&gt;"",COUNTIFS('📋 Suspens'!E:E,A15,'📋 Suspens'!O:O,"October 2026"),"")</f>
        <v/>
      </c>
      <c r="L15" s="30" t="str">
        <f aca="false">IF(A15&lt;&gt;"",COUNTIFS('📋 Suspens'!E:E,A15,'📋 Suspens'!O:O,"November 2026"),"")</f>
        <v/>
      </c>
      <c r="M15" s="30" t="str">
        <f aca="false">IF(A15&lt;&gt;"",COUNTIFS('📋 Suspens'!E:E,A15,'📋 Suspens'!O:O,"December 2026"),"")</f>
        <v/>
      </c>
    </row>
    <row r="16" customFormat="false" ht="21.75" hidden="false" customHeight="true" outlineLevel="0" collapsed="false">
      <c r="A16" s="61" t="str">
        <f aca="false">IF('⚙️ Parametres'!C6&lt;&gt;"",'⚙️ Parametres'!C6,"")</f>
        <v/>
      </c>
      <c r="B16" s="37" t="str">
        <f aca="false">IF(A16&lt;&gt;"",COUNTIFS('📋 Suspens'!E:E,A16,'📋 Suspens'!O:O,"January 2026"),"")</f>
        <v/>
      </c>
      <c r="C16" s="37" t="str">
        <f aca="false">IF(A16&lt;&gt;"",COUNTIFS('📋 Suspens'!E:E,A16,'📋 Suspens'!O:O,"February 2026"),"")</f>
        <v/>
      </c>
      <c r="D16" s="37" t="str">
        <f aca="false">IF(A16&lt;&gt;"",COUNTIFS('📋 Suspens'!E:E,A16,'📋 Suspens'!O:O,"March 2026"),"")</f>
        <v/>
      </c>
      <c r="E16" s="37" t="str">
        <f aca="false">IF(A16&lt;&gt;"",COUNTIFS('📋 Suspens'!E:E,A16,'📋 Suspens'!O:O,"April 2026"),"")</f>
        <v/>
      </c>
      <c r="F16" s="37" t="str">
        <f aca="false">IF(A16&lt;&gt;"",COUNTIFS('📋 Suspens'!E:E,A16,'📋 Suspens'!O:O,"May 2026"),"")</f>
        <v/>
      </c>
      <c r="G16" s="37" t="str">
        <f aca="false">IF(A16&lt;&gt;"",COUNTIFS('📋 Suspens'!E:E,A16,'📋 Suspens'!O:O,"June 2026"),"")</f>
        <v/>
      </c>
      <c r="H16" s="37" t="str">
        <f aca="false">IF(A16&lt;&gt;"",COUNTIFS('📋 Suspens'!E:E,A16,'📋 Suspens'!O:O,"July 2026"),"")</f>
        <v/>
      </c>
      <c r="I16" s="37" t="str">
        <f aca="false">IF(A16&lt;&gt;"",COUNTIFS('📋 Suspens'!E:E,A16,'📋 Suspens'!O:O,"August 2026"),"")</f>
        <v/>
      </c>
      <c r="J16" s="37" t="str">
        <f aca="false">IF(A16&lt;&gt;"",COUNTIFS('📋 Suspens'!E:E,A16,'📋 Suspens'!O:O,"September 2026"),"")</f>
        <v/>
      </c>
      <c r="K16" s="37" t="str">
        <f aca="false">IF(A16&lt;&gt;"",COUNTIFS('📋 Suspens'!E:E,A16,'📋 Suspens'!O:O,"October 2026"),"")</f>
        <v/>
      </c>
      <c r="L16" s="37" t="str">
        <f aca="false">IF(A16&lt;&gt;"",COUNTIFS('📋 Suspens'!E:E,A16,'📋 Suspens'!O:O,"November 2026"),"")</f>
        <v/>
      </c>
      <c r="M16" s="37" t="str">
        <f aca="false">IF(A16&lt;&gt;"",COUNTIFS('📋 Suspens'!E:E,A16,'📋 Suspens'!O:O,"December 2026"),"")</f>
        <v/>
      </c>
    </row>
    <row r="17" customFormat="false" ht="21.75" hidden="false" customHeight="true" outlineLevel="0" collapsed="false">
      <c r="A17" s="65" t="str">
        <f aca="false">IF('⚙️ Parametres'!C7&lt;&gt;"",'⚙️ Parametres'!C7,"")</f>
        <v/>
      </c>
      <c r="B17" s="30" t="str">
        <f aca="false">IF(A17&lt;&gt;"",COUNTIFS('📋 Suspens'!E:E,A17,'📋 Suspens'!O:O,"January 2026"),"")</f>
        <v/>
      </c>
      <c r="C17" s="30" t="str">
        <f aca="false">IF(A17&lt;&gt;"",COUNTIFS('📋 Suspens'!E:E,A17,'📋 Suspens'!O:O,"February 2026"),"")</f>
        <v/>
      </c>
      <c r="D17" s="30" t="str">
        <f aca="false">IF(A17&lt;&gt;"",COUNTIFS('📋 Suspens'!E:E,A17,'📋 Suspens'!O:O,"March 2026"),"")</f>
        <v/>
      </c>
      <c r="E17" s="30" t="str">
        <f aca="false">IF(A17&lt;&gt;"",COUNTIFS('📋 Suspens'!E:E,A17,'📋 Suspens'!O:O,"April 2026"),"")</f>
        <v/>
      </c>
      <c r="F17" s="30" t="str">
        <f aca="false">IF(A17&lt;&gt;"",COUNTIFS('📋 Suspens'!E:E,A17,'📋 Suspens'!O:O,"May 2026"),"")</f>
        <v/>
      </c>
      <c r="G17" s="30" t="str">
        <f aca="false">IF(A17&lt;&gt;"",COUNTIFS('📋 Suspens'!E:E,A17,'📋 Suspens'!O:O,"June 2026"),"")</f>
        <v/>
      </c>
      <c r="H17" s="30" t="str">
        <f aca="false">IF(A17&lt;&gt;"",COUNTIFS('📋 Suspens'!E:E,A17,'📋 Suspens'!O:O,"July 2026"),"")</f>
        <v/>
      </c>
      <c r="I17" s="30" t="str">
        <f aca="false">IF(A17&lt;&gt;"",COUNTIFS('📋 Suspens'!E:E,A17,'📋 Suspens'!O:O,"August 2026"),"")</f>
        <v/>
      </c>
      <c r="J17" s="30" t="str">
        <f aca="false">IF(A17&lt;&gt;"",COUNTIFS('📋 Suspens'!E:E,A17,'📋 Suspens'!O:O,"September 2026"),"")</f>
        <v/>
      </c>
      <c r="K17" s="30" t="str">
        <f aca="false">IF(A17&lt;&gt;"",COUNTIFS('📋 Suspens'!E:E,A17,'📋 Suspens'!O:O,"October 2026"),"")</f>
        <v/>
      </c>
      <c r="L17" s="30" t="str">
        <f aca="false">IF(A17&lt;&gt;"",COUNTIFS('📋 Suspens'!E:E,A17,'📋 Suspens'!O:O,"November 2026"),"")</f>
        <v/>
      </c>
      <c r="M17" s="30" t="str">
        <f aca="false">IF(A17&lt;&gt;"",COUNTIFS('📋 Suspens'!E:E,A17,'📋 Suspens'!O:O,"December 2026"),"")</f>
        <v/>
      </c>
    </row>
    <row r="18" customFormat="false" ht="21.75" hidden="false" customHeight="true" outlineLevel="0" collapsed="false">
      <c r="A18" s="61" t="str">
        <f aca="false">IF('⚙️ Parametres'!C8&lt;&gt;"",'⚙️ Parametres'!C8,"")</f>
        <v/>
      </c>
      <c r="B18" s="37" t="str">
        <f aca="false">IF(A18&lt;&gt;"",COUNTIFS('📋 Suspens'!E:E,A18,'📋 Suspens'!O:O,"January 2026"),"")</f>
        <v/>
      </c>
      <c r="C18" s="37" t="str">
        <f aca="false">IF(A18&lt;&gt;"",COUNTIFS('📋 Suspens'!E:E,A18,'📋 Suspens'!O:O,"February 2026"),"")</f>
        <v/>
      </c>
      <c r="D18" s="37" t="str">
        <f aca="false">IF(A18&lt;&gt;"",COUNTIFS('📋 Suspens'!E:E,A18,'📋 Suspens'!O:O,"March 2026"),"")</f>
        <v/>
      </c>
      <c r="E18" s="37" t="str">
        <f aca="false">IF(A18&lt;&gt;"",COUNTIFS('📋 Suspens'!E:E,A18,'📋 Suspens'!O:O,"April 2026"),"")</f>
        <v/>
      </c>
      <c r="F18" s="37" t="str">
        <f aca="false">IF(A18&lt;&gt;"",COUNTIFS('📋 Suspens'!E:E,A18,'📋 Suspens'!O:O,"May 2026"),"")</f>
        <v/>
      </c>
      <c r="G18" s="37" t="str">
        <f aca="false">IF(A18&lt;&gt;"",COUNTIFS('📋 Suspens'!E:E,A18,'📋 Suspens'!O:O,"June 2026"),"")</f>
        <v/>
      </c>
      <c r="H18" s="37" t="str">
        <f aca="false">IF(A18&lt;&gt;"",COUNTIFS('📋 Suspens'!E:E,A18,'📋 Suspens'!O:O,"July 2026"),"")</f>
        <v/>
      </c>
      <c r="I18" s="37" t="str">
        <f aca="false">IF(A18&lt;&gt;"",COUNTIFS('📋 Suspens'!E:E,A18,'📋 Suspens'!O:O,"August 2026"),"")</f>
        <v/>
      </c>
      <c r="J18" s="37" t="str">
        <f aca="false">IF(A18&lt;&gt;"",COUNTIFS('📋 Suspens'!E:E,A18,'📋 Suspens'!O:O,"September 2026"),"")</f>
        <v/>
      </c>
      <c r="K18" s="37" t="str">
        <f aca="false">IF(A18&lt;&gt;"",COUNTIFS('📋 Suspens'!E:E,A18,'📋 Suspens'!O:O,"October 2026"),"")</f>
        <v/>
      </c>
      <c r="L18" s="37" t="str">
        <f aca="false">IF(A18&lt;&gt;"",COUNTIFS('📋 Suspens'!E:E,A18,'📋 Suspens'!O:O,"November 2026"),"")</f>
        <v/>
      </c>
      <c r="M18" s="37" t="str">
        <f aca="false">IF(A18&lt;&gt;"",COUNTIFS('📋 Suspens'!E:E,A18,'📋 Suspens'!O:O,"December 2026"),"")</f>
        <v/>
      </c>
    </row>
    <row r="19" customFormat="false" ht="21.75" hidden="false" customHeight="true" outlineLevel="0" collapsed="false">
      <c r="A19" s="65" t="str">
        <f aca="false">IF('⚙️ Parametres'!C9&lt;&gt;"",'⚙️ Parametres'!C9,"")</f>
        <v/>
      </c>
      <c r="B19" s="30" t="str">
        <f aca="false">IF(A19&lt;&gt;"",COUNTIFS('📋 Suspens'!E:E,A19,'📋 Suspens'!O:O,"January 2026"),"")</f>
        <v/>
      </c>
      <c r="C19" s="30" t="str">
        <f aca="false">IF(A19&lt;&gt;"",COUNTIFS('📋 Suspens'!E:E,A19,'📋 Suspens'!O:O,"February 2026"),"")</f>
        <v/>
      </c>
      <c r="D19" s="30" t="str">
        <f aca="false">IF(A19&lt;&gt;"",COUNTIFS('📋 Suspens'!E:E,A19,'📋 Suspens'!O:O,"March 2026"),"")</f>
        <v/>
      </c>
      <c r="E19" s="30" t="str">
        <f aca="false">IF(A19&lt;&gt;"",COUNTIFS('📋 Suspens'!E:E,A19,'📋 Suspens'!O:O,"April 2026"),"")</f>
        <v/>
      </c>
      <c r="F19" s="30" t="str">
        <f aca="false">IF(A19&lt;&gt;"",COUNTIFS('📋 Suspens'!E:E,A19,'📋 Suspens'!O:O,"May 2026"),"")</f>
        <v/>
      </c>
      <c r="G19" s="30" t="str">
        <f aca="false">IF(A19&lt;&gt;"",COUNTIFS('📋 Suspens'!E:E,A19,'📋 Suspens'!O:O,"June 2026"),"")</f>
        <v/>
      </c>
      <c r="H19" s="30" t="str">
        <f aca="false">IF(A19&lt;&gt;"",COUNTIFS('📋 Suspens'!E:E,A19,'📋 Suspens'!O:O,"July 2026"),"")</f>
        <v/>
      </c>
      <c r="I19" s="30" t="str">
        <f aca="false">IF(A19&lt;&gt;"",COUNTIFS('📋 Suspens'!E:E,A19,'📋 Suspens'!O:O,"August 2026"),"")</f>
        <v/>
      </c>
      <c r="J19" s="30" t="str">
        <f aca="false">IF(A19&lt;&gt;"",COUNTIFS('📋 Suspens'!E:E,A19,'📋 Suspens'!O:O,"September 2026"),"")</f>
        <v/>
      </c>
      <c r="K19" s="30" t="str">
        <f aca="false">IF(A19&lt;&gt;"",COUNTIFS('📋 Suspens'!E:E,A19,'📋 Suspens'!O:O,"October 2026"),"")</f>
        <v/>
      </c>
      <c r="L19" s="30" t="str">
        <f aca="false">IF(A19&lt;&gt;"",COUNTIFS('📋 Suspens'!E:E,A19,'📋 Suspens'!O:O,"November 2026"),"")</f>
        <v/>
      </c>
      <c r="M19" s="30" t="str">
        <f aca="false">IF(A19&lt;&gt;"",COUNTIFS('📋 Suspens'!E:E,A19,'📋 Suspens'!O:O,"December 2026"),"")</f>
        <v/>
      </c>
    </row>
    <row r="20" customFormat="false" ht="21.75" hidden="false" customHeight="true" outlineLevel="0" collapsed="false">
      <c r="A20" s="61" t="str">
        <f aca="false">IF('⚙️ Parametres'!C10&lt;&gt;"",'⚙️ Parametres'!C10,"")</f>
        <v/>
      </c>
      <c r="B20" s="37" t="str">
        <f aca="false">IF(A20&lt;&gt;"",COUNTIFS('📋 Suspens'!E:E,A20,'📋 Suspens'!O:O,"January 2026"),"")</f>
        <v/>
      </c>
      <c r="C20" s="37" t="str">
        <f aca="false">IF(A20&lt;&gt;"",COUNTIFS('📋 Suspens'!E:E,A20,'📋 Suspens'!O:O,"February 2026"),"")</f>
        <v/>
      </c>
      <c r="D20" s="37" t="str">
        <f aca="false">IF(A20&lt;&gt;"",COUNTIFS('📋 Suspens'!E:E,A20,'📋 Suspens'!O:O,"March 2026"),"")</f>
        <v/>
      </c>
      <c r="E20" s="37" t="str">
        <f aca="false">IF(A20&lt;&gt;"",COUNTIFS('📋 Suspens'!E:E,A20,'📋 Suspens'!O:O,"April 2026"),"")</f>
        <v/>
      </c>
      <c r="F20" s="37" t="str">
        <f aca="false">IF(A20&lt;&gt;"",COUNTIFS('📋 Suspens'!E:E,A20,'📋 Suspens'!O:O,"May 2026"),"")</f>
        <v/>
      </c>
      <c r="G20" s="37" t="str">
        <f aca="false">IF(A20&lt;&gt;"",COUNTIFS('📋 Suspens'!E:E,A20,'📋 Suspens'!O:O,"June 2026"),"")</f>
        <v/>
      </c>
      <c r="H20" s="37" t="str">
        <f aca="false">IF(A20&lt;&gt;"",COUNTIFS('📋 Suspens'!E:E,A20,'📋 Suspens'!O:O,"July 2026"),"")</f>
        <v/>
      </c>
      <c r="I20" s="37" t="str">
        <f aca="false">IF(A20&lt;&gt;"",COUNTIFS('📋 Suspens'!E:E,A20,'📋 Suspens'!O:O,"August 2026"),"")</f>
        <v/>
      </c>
      <c r="J20" s="37" t="str">
        <f aca="false">IF(A20&lt;&gt;"",COUNTIFS('📋 Suspens'!E:E,A20,'📋 Suspens'!O:O,"September 2026"),"")</f>
        <v/>
      </c>
      <c r="K20" s="37" t="str">
        <f aca="false">IF(A20&lt;&gt;"",COUNTIFS('📋 Suspens'!E:E,A20,'📋 Suspens'!O:O,"October 2026"),"")</f>
        <v/>
      </c>
      <c r="L20" s="37" t="str">
        <f aca="false">IF(A20&lt;&gt;"",COUNTIFS('📋 Suspens'!E:E,A20,'📋 Suspens'!O:O,"November 2026"),"")</f>
        <v/>
      </c>
      <c r="M20" s="37" t="str">
        <f aca="false">IF(A20&lt;&gt;"",COUNTIFS('📋 Suspens'!E:E,A20,'📋 Suspens'!O:O,"December 2026"),"")</f>
        <v/>
      </c>
    </row>
    <row r="21" customFormat="false" ht="21.75" hidden="false" customHeight="true" outlineLevel="0" collapsed="false">
      <c r="A21" s="65" t="str">
        <f aca="false">IF('⚙️ Parametres'!C11&lt;&gt;"",'⚙️ Parametres'!C11,"")</f>
        <v/>
      </c>
      <c r="B21" s="30" t="str">
        <f aca="false">IF(A21&lt;&gt;"",COUNTIFS('📋 Suspens'!E:E,A21,'📋 Suspens'!O:O,"January 2026"),"")</f>
        <v/>
      </c>
      <c r="C21" s="30" t="str">
        <f aca="false">IF(A21&lt;&gt;"",COUNTIFS('📋 Suspens'!E:E,A21,'📋 Suspens'!O:O,"February 2026"),"")</f>
        <v/>
      </c>
      <c r="D21" s="30" t="str">
        <f aca="false">IF(A21&lt;&gt;"",COUNTIFS('📋 Suspens'!E:E,A21,'📋 Suspens'!O:O,"March 2026"),"")</f>
        <v/>
      </c>
      <c r="E21" s="30" t="str">
        <f aca="false">IF(A21&lt;&gt;"",COUNTIFS('📋 Suspens'!E:E,A21,'📋 Suspens'!O:O,"April 2026"),"")</f>
        <v/>
      </c>
      <c r="F21" s="30" t="str">
        <f aca="false">IF(A21&lt;&gt;"",COUNTIFS('📋 Suspens'!E:E,A21,'📋 Suspens'!O:O,"May 2026"),"")</f>
        <v/>
      </c>
      <c r="G21" s="30" t="str">
        <f aca="false">IF(A21&lt;&gt;"",COUNTIFS('📋 Suspens'!E:E,A21,'📋 Suspens'!O:O,"June 2026"),"")</f>
        <v/>
      </c>
      <c r="H21" s="30" t="str">
        <f aca="false">IF(A21&lt;&gt;"",COUNTIFS('📋 Suspens'!E:E,A21,'📋 Suspens'!O:O,"July 2026"),"")</f>
        <v/>
      </c>
      <c r="I21" s="30" t="str">
        <f aca="false">IF(A21&lt;&gt;"",COUNTIFS('📋 Suspens'!E:E,A21,'📋 Suspens'!O:O,"August 2026"),"")</f>
        <v/>
      </c>
      <c r="J21" s="30" t="str">
        <f aca="false">IF(A21&lt;&gt;"",COUNTIFS('📋 Suspens'!E:E,A21,'📋 Suspens'!O:O,"September 2026"),"")</f>
        <v/>
      </c>
      <c r="K21" s="30" t="str">
        <f aca="false">IF(A21&lt;&gt;"",COUNTIFS('📋 Suspens'!E:E,A21,'📋 Suspens'!O:O,"October 2026"),"")</f>
        <v/>
      </c>
      <c r="L21" s="30" t="str">
        <f aca="false">IF(A21&lt;&gt;"",COUNTIFS('📋 Suspens'!E:E,A21,'📋 Suspens'!O:O,"November 2026"),"")</f>
        <v/>
      </c>
      <c r="M21" s="30" t="str">
        <f aca="false">IF(A21&lt;&gt;"",COUNTIFS('📋 Suspens'!E:E,A21,'📋 Suspens'!O:O,"December 2026"),"")</f>
        <v/>
      </c>
    </row>
    <row r="22" customFormat="false" ht="21.75" hidden="false" customHeight="true" outlineLevel="0" collapsed="false">
      <c r="A22" s="61" t="str">
        <f aca="false">IF('⚙️ Parametres'!C12&lt;&gt;"",'⚙️ Parametres'!C12,"")</f>
        <v/>
      </c>
      <c r="B22" s="37" t="str">
        <f aca="false">IF(A22&lt;&gt;"",COUNTIFS('📋 Suspens'!E:E,A22,'📋 Suspens'!O:O,"January 2026"),"")</f>
        <v/>
      </c>
      <c r="C22" s="37" t="str">
        <f aca="false">IF(A22&lt;&gt;"",COUNTIFS('📋 Suspens'!E:E,A22,'📋 Suspens'!O:O,"February 2026"),"")</f>
        <v/>
      </c>
      <c r="D22" s="37" t="str">
        <f aca="false">IF(A22&lt;&gt;"",COUNTIFS('📋 Suspens'!E:E,A22,'📋 Suspens'!O:O,"March 2026"),"")</f>
        <v/>
      </c>
      <c r="E22" s="37" t="str">
        <f aca="false">IF(A22&lt;&gt;"",COUNTIFS('📋 Suspens'!E:E,A22,'📋 Suspens'!O:O,"April 2026"),"")</f>
        <v/>
      </c>
      <c r="F22" s="37" t="str">
        <f aca="false">IF(A22&lt;&gt;"",COUNTIFS('📋 Suspens'!E:E,A22,'📋 Suspens'!O:O,"May 2026"),"")</f>
        <v/>
      </c>
      <c r="G22" s="37" t="str">
        <f aca="false">IF(A22&lt;&gt;"",COUNTIFS('📋 Suspens'!E:E,A22,'📋 Suspens'!O:O,"June 2026"),"")</f>
        <v/>
      </c>
      <c r="H22" s="37" t="str">
        <f aca="false">IF(A22&lt;&gt;"",COUNTIFS('📋 Suspens'!E:E,A22,'📋 Suspens'!O:O,"July 2026"),"")</f>
        <v/>
      </c>
      <c r="I22" s="37" t="str">
        <f aca="false">IF(A22&lt;&gt;"",COUNTIFS('📋 Suspens'!E:E,A22,'📋 Suspens'!O:O,"August 2026"),"")</f>
        <v/>
      </c>
      <c r="J22" s="37" t="str">
        <f aca="false">IF(A22&lt;&gt;"",COUNTIFS('📋 Suspens'!E:E,A22,'📋 Suspens'!O:O,"September 2026"),"")</f>
        <v/>
      </c>
      <c r="K22" s="37" t="str">
        <f aca="false">IF(A22&lt;&gt;"",COUNTIFS('📋 Suspens'!E:E,A22,'📋 Suspens'!O:O,"October 2026"),"")</f>
        <v/>
      </c>
      <c r="L22" s="37" t="str">
        <f aca="false">IF(A22&lt;&gt;"",COUNTIFS('📋 Suspens'!E:E,A22,'📋 Suspens'!O:O,"November 2026"),"")</f>
        <v/>
      </c>
      <c r="M22" s="37" t="str">
        <f aca="false">IF(A22&lt;&gt;"",COUNTIFS('📋 Suspens'!E:E,A22,'📋 Suspens'!O:O,"December 2026"),"")</f>
        <v/>
      </c>
    </row>
    <row r="23" customFormat="false" ht="21.75" hidden="false" customHeight="true" outlineLevel="0" collapsed="false">
      <c r="A23" s="65" t="str">
        <f aca="false">IF('⚙️ Parametres'!C13&lt;&gt;"",'⚙️ Parametres'!C13,"")</f>
        <v/>
      </c>
      <c r="B23" s="30" t="str">
        <f aca="false">IF(A23&lt;&gt;"",COUNTIFS('📋 Suspens'!E:E,A23,'📋 Suspens'!O:O,"January 2026"),"")</f>
        <v/>
      </c>
      <c r="C23" s="30" t="str">
        <f aca="false">IF(A23&lt;&gt;"",COUNTIFS('📋 Suspens'!E:E,A23,'📋 Suspens'!O:O,"February 2026"),"")</f>
        <v/>
      </c>
      <c r="D23" s="30" t="str">
        <f aca="false">IF(A23&lt;&gt;"",COUNTIFS('📋 Suspens'!E:E,A23,'📋 Suspens'!O:O,"March 2026"),"")</f>
        <v/>
      </c>
      <c r="E23" s="30" t="str">
        <f aca="false">IF(A23&lt;&gt;"",COUNTIFS('📋 Suspens'!E:E,A23,'📋 Suspens'!O:O,"April 2026"),"")</f>
        <v/>
      </c>
      <c r="F23" s="30" t="str">
        <f aca="false">IF(A23&lt;&gt;"",COUNTIFS('📋 Suspens'!E:E,A23,'📋 Suspens'!O:O,"May 2026"),"")</f>
        <v/>
      </c>
      <c r="G23" s="30" t="str">
        <f aca="false">IF(A23&lt;&gt;"",COUNTIFS('📋 Suspens'!E:E,A23,'📋 Suspens'!O:O,"June 2026"),"")</f>
        <v/>
      </c>
      <c r="H23" s="30" t="str">
        <f aca="false">IF(A23&lt;&gt;"",COUNTIFS('📋 Suspens'!E:E,A23,'📋 Suspens'!O:O,"July 2026"),"")</f>
        <v/>
      </c>
      <c r="I23" s="30" t="str">
        <f aca="false">IF(A23&lt;&gt;"",COUNTIFS('📋 Suspens'!E:E,A23,'📋 Suspens'!O:O,"August 2026"),"")</f>
        <v/>
      </c>
      <c r="J23" s="30" t="str">
        <f aca="false">IF(A23&lt;&gt;"",COUNTIFS('📋 Suspens'!E:E,A23,'📋 Suspens'!O:O,"September 2026"),"")</f>
        <v/>
      </c>
      <c r="K23" s="30" t="str">
        <f aca="false">IF(A23&lt;&gt;"",COUNTIFS('📋 Suspens'!E:E,A23,'📋 Suspens'!O:O,"October 2026"),"")</f>
        <v/>
      </c>
      <c r="L23" s="30" t="str">
        <f aca="false">IF(A23&lt;&gt;"",COUNTIFS('📋 Suspens'!E:E,A23,'📋 Suspens'!O:O,"November 2026"),"")</f>
        <v/>
      </c>
      <c r="M23" s="30" t="str">
        <f aca="false">IF(A23&lt;&gt;"",COUNTIFS('📋 Suspens'!E:E,A23,'📋 Suspens'!O:O,"December 2026"),"")</f>
        <v/>
      </c>
    </row>
    <row r="24" customFormat="false" ht="21.75" hidden="false" customHeight="true" outlineLevel="0" collapsed="false">
      <c r="A24" s="61" t="str">
        <f aca="false">IF('⚙️ Parametres'!C14&lt;&gt;"",'⚙️ Parametres'!C14,"")</f>
        <v/>
      </c>
      <c r="B24" s="37" t="str">
        <f aca="false">IF(A24&lt;&gt;"",COUNTIFS('📋 Suspens'!E:E,A24,'📋 Suspens'!O:O,"January 2026"),"")</f>
        <v/>
      </c>
      <c r="C24" s="37" t="str">
        <f aca="false">IF(A24&lt;&gt;"",COUNTIFS('📋 Suspens'!E:E,A24,'📋 Suspens'!O:O,"February 2026"),"")</f>
        <v/>
      </c>
      <c r="D24" s="37" t="str">
        <f aca="false">IF(A24&lt;&gt;"",COUNTIFS('📋 Suspens'!E:E,A24,'📋 Suspens'!O:O,"March 2026"),"")</f>
        <v/>
      </c>
      <c r="E24" s="37" t="str">
        <f aca="false">IF(A24&lt;&gt;"",COUNTIFS('📋 Suspens'!E:E,A24,'📋 Suspens'!O:O,"April 2026"),"")</f>
        <v/>
      </c>
      <c r="F24" s="37" t="str">
        <f aca="false">IF(A24&lt;&gt;"",COUNTIFS('📋 Suspens'!E:E,A24,'📋 Suspens'!O:O,"May 2026"),"")</f>
        <v/>
      </c>
      <c r="G24" s="37" t="str">
        <f aca="false">IF(A24&lt;&gt;"",COUNTIFS('📋 Suspens'!E:E,A24,'📋 Suspens'!O:O,"June 2026"),"")</f>
        <v/>
      </c>
      <c r="H24" s="37" t="str">
        <f aca="false">IF(A24&lt;&gt;"",COUNTIFS('📋 Suspens'!E:E,A24,'📋 Suspens'!O:O,"July 2026"),"")</f>
        <v/>
      </c>
      <c r="I24" s="37" t="str">
        <f aca="false">IF(A24&lt;&gt;"",COUNTIFS('📋 Suspens'!E:E,A24,'📋 Suspens'!O:O,"August 2026"),"")</f>
        <v/>
      </c>
      <c r="J24" s="37" t="str">
        <f aca="false">IF(A24&lt;&gt;"",COUNTIFS('📋 Suspens'!E:E,A24,'📋 Suspens'!O:O,"September 2026"),"")</f>
        <v/>
      </c>
      <c r="K24" s="37" t="str">
        <f aca="false">IF(A24&lt;&gt;"",COUNTIFS('📋 Suspens'!E:E,A24,'📋 Suspens'!O:O,"October 2026"),"")</f>
        <v/>
      </c>
      <c r="L24" s="37" t="str">
        <f aca="false">IF(A24&lt;&gt;"",COUNTIFS('📋 Suspens'!E:E,A24,'📋 Suspens'!O:O,"November 2026"),"")</f>
        <v/>
      </c>
      <c r="M24" s="37" t="str">
        <f aca="false">IF(A24&lt;&gt;"",COUNTIFS('📋 Suspens'!E:E,A24,'📋 Suspens'!O:O,"December 2026"),"")</f>
        <v/>
      </c>
    </row>
    <row r="25" customFormat="false" ht="21.75" hidden="false" customHeight="true" outlineLevel="0" collapsed="false">
      <c r="A25" s="65" t="str">
        <f aca="false">IF('⚙️ Parametres'!C15&lt;&gt;"",'⚙️ Parametres'!C15,"")</f>
        <v/>
      </c>
      <c r="B25" s="30" t="str">
        <f aca="false">IF(A25&lt;&gt;"",COUNTIFS('📋 Suspens'!E:E,A25,'📋 Suspens'!O:O,"January 2026"),"")</f>
        <v/>
      </c>
      <c r="C25" s="30" t="str">
        <f aca="false">IF(A25&lt;&gt;"",COUNTIFS('📋 Suspens'!E:E,A25,'📋 Suspens'!O:O,"February 2026"),"")</f>
        <v/>
      </c>
      <c r="D25" s="30" t="str">
        <f aca="false">IF(A25&lt;&gt;"",COUNTIFS('📋 Suspens'!E:E,A25,'📋 Suspens'!O:O,"March 2026"),"")</f>
        <v/>
      </c>
      <c r="E25" s="30" t="str">
        <f aca="false">IF(A25&lt;&gt;"",COUNTIFS('📋 Suspens'!E:E,A25,'📋 Suspens'!O:O,"April 2026"),"")</f>
        <v/>
      </c>
      <c r="F25" s="30" t="str">
        <f aca="false">IF(A25&lt;&gt;"",COUNTIFS('📋 Suspens'!E:E,A25,'📋 Suspens'!O:O,"May 2026"),"")</f>
        <v/>
      </c>
      <c r="G25" s="30" t="str">
        <f aca="false">IF(A25&lt;&gt;"",COUNTIFS('📋 Suspens'!E:E,A25,'📋 Suspens'!O:O,"June 2026"),"")</f>
        <v/>
      </c>
      <c r="H25" s="30" t="str">
        <f aca="false">IF(A25&lt;&gt;"",COUNTIFS('📋 Suspens'!E:E,A25,'📋 Suspens'!O:O,"July 2026"),"")</f>
        <v/>
      </c>
      <c r="I25" s="30" t="str">
        <f aca="false">IF(A25&lt;&gt;"",COUNTIFS('📋 Suspens'!E:E,A25,'📋 Suspens'!O:O,"August 2026"),"")</f>
        <v/>
      </c>
      <c r="J25" s="30" t="str">
        <f aca="false">IF(A25&lt;&gt;"",COUNTIFS('📋 Suspens'!E:E,A25,'📋 Suspens'!O:O,"September 2026"),"")</f>
        <v/>
      </c>
      <c r="K25" s="30" t="str">
        <f aca="false">IF(A25&lt;&gt;"",COUNTIFS('📋 Suspens'!E:E,A25,'📋 Suspens'!O:O,"October 2026"),"")</f>
        <v/>
      </c>
      <c r="L25" s="30" t="str">
        <f aca="false">IF(A25&lt;&gt;"",COUNTIFS('📋 Suspens'!E:E,A25,'📋 Suspens'!O:O,"November 2026"),"")</f>
        <v/>
      </c>
      <c r="M25" s="30" t="str">
        <f aca="false">IF(A25&lt;&gt;"",COUNTIFS('📋 Suspens'!E:E,A25,'📋 Suspens'!O:O,"December 2026"),"")</f>
        <v/>
      </c>
    </row>
    <row r="26" customFormat="false" ht="21.75" hidden="false" customHeight="true" outlineLevel="0" collapsed="false">
      <c r="A26" s="61" t="str">
        <f aca="false">IF('⚙️ Parametres'!C16&lt;&gt;"",'⚙️ Parametres'!C16,"")</f>
        <v/>
      </c>
      <c r="B26" s="37" t="str">
        <f aca="false">IF(A26&lt;&gt;"",COUNTIFS('📋 Suspens'!E:E,A26,'📋 Suspens'!O:O,"January 2026"),"")</f>
        <v/>
      </c>
      <c r="C26" s="37" t="str">
        <f aca="false">IF(A26&lt;&gt;"",COUNTIFS('📋 Suspens'!E:E,A26,'📋 Suspens'!O:O,"February 2026"),"")</f>
        <v/>
      </c>
      <c r="D26" s="37" t="str">
        <f aca="false">IF(A26&lt;&gt;"",COUNTIFS('📋 Suspens'!E:E,A26,'📋 Suspens'!O:O,"March 2026"),"")</f>
        <v/>
      </c>
      <c r="E26" s="37" t="str">
        <f aca="false">IF(A26&lt;&gt;"",COUNTIFS('📋 Suspens'!E:E,A26,'📋 Suspens'!O:O,"April 2026"),"")</f>
        <v/>
      </c>
      <c r="F26" s="37" t="str">
        <f aca="false">IF(A26&lt;&gt;"",COUNTIFS('📋 Suspens'!E:E,A26,'📋 Suspens'!O:O,"May 2026"),"")</f>
        <v/>
      </c>
      <c r="G26" s="37" t="str">
        <f aca="false">IF(A26&lt;&gt;"",COUNTIFS('📋 Suspens'!E:E,A26,'📋 Suspens'!O:O,"June 2026"),"")</f>
        <v/>
      </c>
      <c r="H26" s="37" t="str">
        <f aca="false">IF(A26&lt;&gt;"",COUNTIFS('📋 Suspens'!E:E,A26,'📋 Suspens'!O:O,"July 2026"),"")</f>
        <v/>
      </c>
      <c r="I26" s="37" t="str">
        <f aca="false">IF(A26&lt;&gt;"",COUNTIFS('📋 Suspens'!E:E,A26,'📋 Suspens'!O:O,"August 2026"),"")</f>
        <v/>
      </c>
      <c r="J26" s="37" t="str">
        <f aca="false">IF(A26&lt;&gt;"",COUNTIFS('📋 Suspens'!E:E,A26,'📋 Suspens'!O:O,"September 2026"),"")</f>
        <v/>
      </c>
      <c r="K26" s="37" t="str">
        <f aca="false">IF(A26&lt;&gt;"",COUNTIFS('📋 Suspens'!E:E,A26,'📋 Suspens'!O:O,"October 2026"),"")</f>
        <v/>
      </c>
      <c r="L26" s="37" t="str">
        <f aca="false">IF(A26&lt;&gt;"",COUNTIFS('📋 Suspens'!E:E,A26,'📋 Suspens'!O:O,"November 2026"),"")</f>
        <v/>
      </c>
      <c r="M26" s="37" t="str">
        <f aca="false">IF(A26&lt;&gt;"",COUNTIFS('📋 Suspens'!E:E,A26,'📋 Suspens'!O:O,"December 2026"),"")</f>
        <v/>
      </c>
    </row>
    <row r="27" customFormat="false" ht="21.75" hidden="false" customHeight="true" outlineLevel="0" collapsed="false">
      <c r="A27" s="65" t="str">
        <f aca="false">IF('⚙️ Parametres'!C17&lt;&gt;"",'⚙️ Parametres'!C17,"")</f>
        <v/>
      </c>
      <c r="B27" s="30" t="str">
        <f aca="false">IF(A27&lt;&gt;"",COUNTIFS('📋 Suspens'!E:E,A27,'📋 Suspens'!O:O,"January 2026"),"")</f>
        <v/>
      </c>
      <c r="C27" s="30" t="str">
        <f aca="false">IF(A27&lt;&gt;"",COUNTIFS('📋 Suspens'!E:E,A27,'📋 Suspens'!O:O,"February 2026"),"")</f>
        <v/>
      </c>
      <c r="D27" s="30" t="str">
        <f aca="false">IF(A27&lt;&gt;"",COUNTIFS('📋 Suspens'!E:E,A27,'📋 Suspens'!O:O,"March 2026"),"")</f>
        <v/>
      </c>
      <c r="E27" s="30" t="str">
        <f aca="false">IF(A27&lt;&gt;"",COUNTIFS('📋 Suspens'!E:E,A27,'📋 Suspens'!O:O,"April 2026"),"")</f>
        <v/>
      </c>
      <c r="F27" s="30" t="str">
        <f aca="false">IF(A27&lt;&gt;"",COUNTIFS('📋 Suspens'!E:E,A27,'📋 Suspens'!O:O,"May 2026"),"")</f>
        <v/>
      </c>
      <c r="G27" s="30" t="str">
        <f aca="false">IF(A27&lt;&gt;"",COUNTIFS('📋 Suspens'!E:E,A27,'📋 Suspens'!O:O,"June 2026"),"")</f>
        <v/>
      </c>
      <c r="H27" s="30" t="str">
        <f aca="false">IF(A27&lt;&gt;"",COUNTIFS('📋 Suspens'!E:E,A27,'📋 Suspens'!O:O,"July 2026"),"")</f>
        <v/>
      </c>
      <c r="I27" s="30" t="str">
        <f aca="false">IF(A27&lt;&gt;"",COUNTIFS('📋 Suspens'!E:E,A27,'📋 Suspens'!O:O,"August 2026"),"")</f>
        <v/>
      </c>
      <c r="J27" s="30" t="str">
        <f aca="false">IF(A27&lt;&gt;"",COUNTIFS('📋 Suspens'!E:E,A27,'📋 Suspens'!O:O,"September 2026"),"")</f>
        <v/>
      </c>
      <c r="K27" s="30" t="str">
        <f aca="false">IF(A27&lt;&gt;"",COUNTIFS('📋 Suspens'!E:E,A27,'📋 Suspens'!O:O,"October 2026"),"")</f>
        <v/>
      </c>
      <c r="L27" s="30" t="str">
        <f aca="false">IF(A27&lt;&gt;"",COUNTIFS('📋 Suspens'!E:E,A27,'📋 Suspens'!O:O,"November 2026"),"")</f>
        <v/>
      </c>
      <c r="M27" s="30" t="str">
        <f aca="false">IF(A27&lt;&gt;"",COUNTIFS('📋 Suspens'!E:E,A27,'📋 Suspens'!O:O,"December 2026"),"")</f>
        <v/>
      </c>
    </row>
    <row r="28" customFormat="false" ht="21.75" hidden="false" customHeight="true" outlineLevel="0" collapsed="false">
      <c r="A28" s="61" t="str">
        <f aca="false">IF('⚙️ Parametres'!C18&lt;&gt;"",'⚙️ Parametres'!C18,"")</f>
        <v/>
      </c>
      <c r="B28" s="37" t="str">
        <f aca="false">IF(A28&lt;&gt;"",COUNTIFS('📋 Suspens'!E:E,A28,'📋 Suspens'!O:O,"January 2026"),"")</f>
        <v/>
      </c>
      <c r="C28" s="37" t="str">
        <f aca="false">IF(A28&lt;&gt;"",COUNTIFS('📋 Suspens'!E:E,A28,'📋 Suspens'!O:O,"February 2026"),"")</f>
        <v/>
      </c>
      <c r="D28" s="37" t="str">
        <f aca="false">IF(A28&lt;&gt;"",COUNTIFS('📋 Suspens'!E:E,A28,'📋 Suspens'!O:O,"March 2026"),"")</f>
        <v/>
      </c>
      <c r="E28" s="37" t="str">
        <f aca="false">IF(A28&lt;&gt;"",COUNTIFS('📋 Suspens'!E:E,A28,'📋 Suspens'!O:O,"April 2026"),"")</f>
        <v/>
      </c>
      <c r="F28" s="37" t="str">
        <f aca="false">IF(A28&lt;&gt;"",COUNTIFS('📋 Suspens'!E:E,A28,'📋 Suspens'!O:O,"May 2026"),"")</f>
        <v/>
      </c>
      <c r="G28" s="37" t="str">
        <f aca="false">IF(A28&lt;&gt;"",COUNTIFS('📋 Suspens'!E:E,A28,'📋 Suspens'!O:O,"June 2026"),"")</f>
        <v/>
      </c>
      <c r="H28" s="37" t="str">
        <f aca="false">IF(A28&lt;&gt;"",COUNTIFS('📋 Suspens'!E:E,A28,'📋 Suspens'!O:O,"July 2026"),"")</f>
        <v/>
      </c>
      <c r="I28" s="37" t="str">
        <f aca="false">IF(A28&lt;&gt;"",COUNTIFS('📋 Suspens'!E:E,A28,'📋 Suspens'!O:O,"August 2026"),"")</f>
        <v/>
      </c>
      <c r="J28" s="37" t="str">
        <f aca="false">IF(A28&lt;&gt;"",COUNTIFS('📋 Suspens'!E:E,A28,'📋 Suspens'!O:O,"September 2026"),"")</f>
        <v/>
      </c>
      <c r="K28" s="37" t="str">
        <f aca="false">IF(A28&lt;&gt;"",COUNTIFS('📋 Suspens'!E:E,A28,'📋 Suspens'!O:O,"October 2026"),"")</f>
        <v/>
      </c>
      <c r="L28" s="37" t="str">
        <f aca="false">IF(A28&lt;&gt;"",COUNTIFS('📋 Suspens'!E:E,A28,'📋 Suspens'!O:O,"November 2026"),"")</f>
        <v/>
      </c>
      <c r="M28" s="37" t="str">
        <f aca="false">IF(A28&lt;&gt;"",COUNTIFS('📋 Suspens'!E:E,A28,'📋 Suspens'!O:O,"December 2026"),"")</f>
        <v/>
      </c>
    </row>
    <row r="29" customFormat="false" ht="21.75" hidden="false" customHeight="true" outlineLevel="0" collapsed="false">
      <c r="A29" s="65" t="str">
        <f aca="false">IF('⚙️ Parametres'!C19&lt;&gt;"",'⚙️ Parametres'!C19,"")</f>
        <v/>
      </c>
      <c r="B29" s="30" t="str">
        <f aca="false">IF(A29&lt;&gt;"",COUNTIFS('📋 Suspens'!E:E,A29,'📋 Suspens'!O:O,"January 2026"),"")</f>
        <v/>
      </c>
      <c r="C29" s="30" t="str">
        <f aca="false">IF(A29&lt;&gt;"",COUNTIFS('📋 Suspens'!E:E,A29,'📋 Suspens'!O:O,"February 2026"),"")</f>
        <v/>
      </c>
      <c r="D29" s="30" t="str">
        <f aca="false">IF(A29&lt;&gt;"",COUNTIFS('📋 Suspens'!E:E,A29,'📋 Suspens'!O:O,"March 2026"),"")</f>
        <v/>
      </c>
      <c r="E29" s="30" t="str">
        <f aca="false">IF(A29&lt;&gt;"",COUNTIFS('📋 Suspens'!E:E,A29,'📋 Suspens'!O:O,"April 2026"),"")</f>
        <v/>
      </c>
      <c r="F29" s="30" t="str">
        <f aca="false">IF(A29&lt;&gt;"",COUNTIFS('📋 Suspens'!E:E,A29,'📋 Suspens'!O:O,"May 2026"),"")</f>
        <v/>
      </c>
      <c r="G29" s="30" t="str">
        <f aca="false">IF(A29&lt;&gt;"",COUNTIFS('📋 Suspens'!E:E,A29,'📋 Suspens'!O:O,"June 2026"),"")</f>
        <v/>
      </c>
      <c r="H29" s="30" t="str">
        <f aca="false">IF(A29&lt;&gt;"",COUNTIFS('📋 Suspens'!E:E,A29,'📋 Suspens'!O:O,"July 2026"),"")</f>
        <v/>
      </c>
      <c r="I29" s="30" t="str">
        <f aca="false">IF(A29&lt;&gt;"",COUNTIFS('📋 Suspens'!E:E,A29,'📋 Suspens'!O:O,"August 2026"),"")</f>
        <v/>
      </c>
      <c r="J29" s="30" t="str">
        <f aca="false">IF(A29&lt;&gt;"",COUNTIFS('📋 Suspens'!E:E,A29,'📋 Suspens'!O:O,"September 2026"),"")</f>
        <v/>
      </c>
      <c r="K29" s="30" t="str">
        <f aca="false">IF(A29&lt;&gt;"",COUNTIFS('📋 Suspens'!E:E,A29,'📋 Suspens'!O:O,"October 2026"),"")</f>
        <v/>
      </c>
      <c r="L29" s="30" t="str">
        <f aca="false">IF(A29&lt;&gt;"",COUNTIFS('📋 Suspens'!E:E,A29,'📋 Suspens'!O:O,"November 2026"),"")</f>
        <v/>
      </c>
      <c r="M29" s="30" t="str">
        <f aca="false">IF(A29&lt;&gt;"",COUNTIFS('📋 Suspens'!E:E,A29,'📋 Suspens'!O:O,"December 2026"),"")</f>
        <v/>
      </c>
    </row>
    <row r="30" customFormat="false" ht="21.75" hidden="false" customHeight="true" outlineLevel="0" collapsed="false">
      <c r="A30" s="61" t="str">
        <f aca="false">IF('⚙️ Parametres'!C20&lt;&gt;"",'⚙️ Parametres'!C20,"")</f>
        <v/>
      </c>
      <c r="B30" s="37" t="str">
        <f aca="false">IF(A30&lt;&gt;"",COUNTIFS('📋 Suspens'!E:E,A30,'📋 Suspens'!O:O,"January 2026"),"")</f>
        <v/>
      </c>
      <c r="C30" s="37" t="str">
        <f aca="false">IF(A30&lt;&gt;"",COUNTIFS('📋 Suspens'!E:E,A30,'📋 Suspens'!O:O,"February 2026"),"")</f>
        <v/>
      </c>
      <c r="D30" s="37" t="str">
        <f aca="false">IF(A30&lt;&gt;"",COUNTIFS('📋 Suspens'!E:E,A30,'📋 Suspens'!O:O,"March 2026"),"")</f>
        <v/>
      </c>
      <c r="E30" s="37" t="str">
        <f aca="false">IF(A30&lt;&gt;"",COUNTIFS('📋 Suspens'!E:E,A30,'📋 Suspens'!O:O,"April 2026"),"")</f>
        <v/>
      </c>
      <c r="F30" s="37" t="str">
        <f aca="false">IF(A30&lt;&gt;"",COUNTIFS('📋 Suspens'!E:E,A30,'📋 Suspens'!O:O,"May 2026"),"")</f>
        <v/>
      </c>
      <c r="G30" s="37" t="str">
        <f aca="false">IF(A30&lt;&gt;"",COUNTIFS('📋 Suspens'!E:E,A30,'📋 Suspens'!O:O,"June 2026"),"")</f>
        <v/>
      </c>
      <c r="H30" s="37" t="str">
        <f aca="false">IF(A30&lt;&gt;"",COUNTIFS('📋 Suspens'!E:E,A30,'📋 Suspens'!O:O,"July 2026"),"")</f>
        <v/>
      </c>
      <c r="I30" s="37" t="str">
        <f aca="false">IF(A30&lt;&gt;"",COUNTIFS('📋 Suspens'!E:E,A30,'📋 Suspens'!O:O,"August 2026"),"")</f>
        <v/>
      </c>
      <c r="J30" s="37" t="str">
        <f aca="false">IF(A30&lt;&gt;"",COUNTIFS('📋 Suspens'!E:E,A30,'📋 Suspens'!O:O,"September 2026"),"")</f>
        <v/>
      </c>
      <c r="K30" s="37" t="str">
        <f aca="false">IF(A30&lt;&gt;"",COUNTIFS('📋 Suspens'!E:E,A30,'📋 Suspens'!O:O,"October 2026"),"")</f>
        <v/>
      </c>
      <c r="L30" s="37" t="str">
        <f aca="false">IF(A30&lt;&gt;"",COUNTIFS('📋 Suspens'!E:E,A30,'📋 Suspens'!O:O,"November 2026"),"")</f>
        <v/>
      </c>
      <c r="M30" s="37" t="str">
        <f aca="false">IF(A30&lt;&gt;"",COUNTIFS('📋 Suspens'!E:E,A30,'📋 Suspens'!O:O,"December 2026"),"")</f>
        <v/>
      </c>
    </row>
    <row r="31" customFormat="false" ht="21.75" hidden="false" customHeight="true" outlineLevel="0" collapsed="false">
      <c r="A31" s="65" t="str">
        <f aca="false">IF('⚙️ Parametres'!C21&lt;&gt;"",'⚙️ Parametres'!C21,"")</f>
        <v/>
      </c>
      <c r="B31" s="30" t="str">
        <f aca="false">IF(A31&lt;&gt;"",COUNTIFS('📋 Suspens'!E:E,A31,'📋 Suspens'!O:O,"January 2026"),"")</f>
        <v/>
      </c>
      <c r="C31" s="30" t="str">
        <f aca="false">IF(A31&lt;&gt;"",COUNTIFS('📋 Suspens'!E:E,A31,'📋 Suspens'!O:O,"February 2026"),"")</f>
        <v/>
      </c>
      <c r="D31" s="30" t="str">
        <f aca="false">IF(A31&lt;&gt;"",COUNTIFS('📋 Suspens'!E:E,A31,'📋 Suspens'!O:O,"March 2026"),"")</f>
        <v/>
      </c>
      <c r="E31" s="30" t="str">
        <f aca="false">IF(A31&lt;&gt;"",COUNTIFS('📋 Suspens'!E:E,A31,'📋 Suspens'!O:O,"April 2026"),"")</f>
        <v/>
      </c>
      <c r="F31" s="30" t="str">
        <f aca="false">IF(A31&lt;&gt;"",COUNTIFS('📋 Suspens'!E:E,A31,'📋 Suspens'!O:O,"May 2026"),"")</f>
        <v/>
      </c>
      <c r="G31" s="30" t="str">
        <f aca="false">IF(A31&lt;&gt;"",COUNTIFS('📋 Suspens'!E:E,A31,'📋 Suspens'!O:O,"June 2026"),"")</f>
        <v/>
      </c>
      <c r="H31" s="30" t="str">
        <f aca="false">IF(A31&lt;&gt;"",COUNTIFS('📋 Suspens'!E:E,A31,'📋 Suspens'!O:O,"July 2026"),"")</f>
        <v/>
      </c>
      <c r="I31" s="30" t="str">
        <f aca="false">IF(A31&lt;&gt;"",COUNTIFS('📋 Suspens'!E:E,A31,'📋 Suspens'!O:O,"August 2026"),"")</f>
        <v/>
      </c>
      <c r="J31" s="30" t="str">
        <f aca="false">IF(A31&lt;&gt;"",COUNTIFS('📋 Suspens'!E:E,A31,'📋 Suspens'!O:O,"September 2026"),"")</f>
        <v/>
      </c>
      <c r="K31" s="30" t="str">
        <f aca="false">IF(A31&lt;&gt;"",COUNTIFS('📋 Suspens'!E:E,A31,'📋 Suspens'!O:O,"October 2026"),"")</f>
        <v/>
      </c>
      <c r="L31" s="30" t="str">
        <f aca="false">IF(A31&lt;&gt;"",COUNTIFS('📋 Suspens'!E:E,A31,'📋 Suspens'!O:O,"November 2026"),"")</f>
        <v/>
      </c>
      <c r="M31" s="30" t="str">
        <f aca="false">IF(A31&lt;&gt;"",COUNTIFS('📋 Suspens'!E:E,A31,'📋 Suspens'!O:O,"December 2026"),"")</f>
        <v/>
      </c>
    </row>
    <row r="32" customFormat="false" ht="21.75" hidden="false" customHeight="true" outlineLevel="0" collapsed="false">
      <c r="A32" s="61" t="str">
        <f aca="false">IF('⚙️ Parametres'!C22&lt;&gt;"",'⚙️ Parametres'!C22,"")</f>
        <v/>
      </c>
      <c r="B32" s="37" t="str">
        <f aca="false">IF(A32&lt;&gt;"",COUNTIFS('📋 Suspens'!E:E,A32,'📋 Suspens'!O:O,"January 2026"),"")</f>
        <v/>
      </c>
      <c r="C32" s="37" t="str">
        <f aca="false">IF(A32&lt;&gt;"",COUNTIFS('📋 Suspens'!E:E,A32,'📋 Suspens'!O:O,"February 2026"),"")</f>
        <v/>
      </c>
      <c r="D32" s="37" t="str">
        <f aca="false">IF(A32&lt;&gt;"",COUNTIFS('📋 Suspens'!E:E,A32,'📋 Suspens'!O:O,"March 2026"),"")</f>
        <v/>
      </c>
      <c r="E32" s="37" t="str">
        <f aca="false">IF(A32&lt;&gt;"",COUNTIFS('📋 Suspens'!E:E,A32,'📋 Suspens'!O:O,"April 2026"),"")</f>
        <v/>
      </c>
      <c r="F32" s="37" t="str">
        <f aca="false">IF(A32&lt;&gt;"",COUNTIFS('📋 Suspens'!E:E,A32,'📋 Suspens'!O:O,"May 2026"),"")</f>
        <v/>
      </c>
      <c r="G32" s="37" t="str">
        <f aca="false">IF(A32&lt;&gt;"",COUNTIFS('📋 Suspens'!E:E,A32,'📋 Suspens'!O:O,"June 2026"),"")</f>
        <v/>
      </c>
      <c r="H32" s="37" t="str">
        <f aca="false">IF(A32&lt;&gt;"",COUNTIFS('📋 Suspens'!E:E,A32,'📋 Suspens'!O:O,"July 2026"),"")</f>
        <v/>
      </c>
      <c r="I32" s="37" t="str">
        <f aca="false">IF(A32&lt;&gt;"",COUNTIFS('📋 Suspens'!E:E,A32,'📋 Suspens'!O:O,"August 2026"),"")</f>
        <v/>
      </c>
      <c r="J32" s="37" t="str">
        <f aca="false">IF(A32&lt;&gt;"",COUNTIFS('📋 Suspens'!E:E,A32,'📋 Suspens'!O:O,"September 2026"),"")</f>
        <v/>
      </c>
      <c r="K32" s="37" t="str">
        <f aca="false">IF(A32&lt;&gt;"",COUNTIFS('📋 Suspens'!E:E,A32,'📋 Suspens'!O:O,"October 2026"),"")</f>
        <v/>
      </c>
      <c r="L32" s="37" t="str">
        <f aca="false">IF(A32&lt;&gt;"",COUNTIFS('📋 Suspens'!E:E,A32,'📋 Suspens'!O:O,"November 2026"),"")</f>
        <v/>
      </c>
      <c r="M32" s="37" t="str">
        <f aca="false">IF(A32&lt;&gt;"",COUNTIFS('📋 Suspens'!E:E,A32,'📋 Suspens'!O:O,"December 2026"),"")</f>
        <v/>
      </c>
    </row>
    <row r="33" customFormat="false" ht="21.75" hidden="false" customHeight="true" outlineLevel="0" collapsed="false">
      <c r="A33" s="65" t="str">
        <f aca="false">IF('⚙️ Parametres'!C23&lt;&gt;"",'⚙️ Parametres'!C23,"")</f>
        <v/>
      </c>
      <c r="B33" s="30" t="str">
        <f aca="false">IF(A33&lt;&gt;"",COUNTIFS('📋 Suspens'!E:E,A33,'📋 Suspens'!O:O,"January 2026"),"")</f>
        <v/>
      </c>
      <c r="C33" s="30" t="str">
        <f aca="false">IF(A33&lt;&gt;"",COUNTIFS('📋 Suspens'!E:E,A33,'📋 Suspens'!O:O,"February 2026"),"")</f>
        <v/>
      </c>
      <c r="D33" s="30" t="str">
        <f aca="false">IF(A33&lt;&gt;"",COUNTIFS('📋 Suspens'!E:E,A33,'📋 Suspens'!O:O,"March 2026"),"")</f>
        <v/>
      </c>
      <c r="E33" s="30" t="str">
        <f aca="false">IF(A33&lt;&gt;"",COUNTIFS('📋 Suspens'!E:E,A33,'📋 Suspens'!O:O,"April 2026"),"")</f>
        <v/>
      </c>
      <c r="F33" s="30" t="str">
        <f aca="false">IF(A33&lt;&gt;"",COUNTIFS('📋 Suspens'!E:E,A33,'📋 Suspens'!O:O,"May 2026"),"")</f>
        <v/>
      </c>
      <c r="G33" s="30" t="str">
        <f aca="false">IF(A33&lt;&gt;"",COUNTIFS('📋 Suspens'!E:E,A33,'📋 Suspens'!O:O,"June 2026"),"")</f>
        <v/>
      </c>
      <c r="H33" s="30" t="str">
        <f aca="false">IF(A33&lt;&gt;"",COUNTIFS('📋 Suspens'!E:E,A33,'📋 Suspens'!O:O,"July 2026"),"")</f>
        <v/>
      </c>
      <c r="I33" s="30" t="str">
        <f aca="false">IF(A33&lt;&gt;"",COUNTIFS('📋 Suspens'!E:E,A33,'📋 Suspens'!O:O,"August 2026"),"")</f>
        <v/>
      </c>
      <c r="J33" s="30" t="str">
        <f aca="false">IF(A33&lt;&gt;"",COUNTIFS('📋 Suspens'!E:E,A33,'📋 Suspens'!O:O,"September 2026"),"")</f>
        <v/>
      </c>
      <c r="K33" s="30" t="str">
        <f aca="false">IF(A33&lt;&gt;"",COUNTIFS('📋 Suspens'!E:E,A33,'📋 Suspens'!O:O,"October 2026"),"")</f>
        <v/>
      </c>
      <c r="L33" s="30" t="str">
        <f aca="false">IF(A33&lt;&gt;"",COUNTIFS('📋 Suspens'!E:E,A33,'📋 Suspens'!O:O,"November 2026"),"")</f>
        <v/>
      </c>
      <c r="M33" s="30" t="str">
        <f aca="false">IF(A33&lt;&gt;"",COUNTIFS('📋 Suspens'!E:E,A33,'📋 Suspens'!O:O,"December 2026"),"")</f>
        <v/>
      </c>
    </row>
    <row r="34" customFormat="false" ht="21.75" hidden="false" customHeight="true" outlineLevel="0" collapsed="false">
      <c r="A34" s="61" t="str">
        <f aca="false">IF('⚙️ Parametres'!C24&lt;&gt;"",'⚙️ Parametres'!C24,"")</f>
        <v/>
      </c>
      <c r="B34" s="37" t="str">
        <f aca="false">IF(A34&lt;&gt;"",COUNTIFS('📋 Suspens'!E:E,A34,'📋 Suspens'!O:O,"January 2026"),"")</f>
        <v/>
      </c>
      <c r="C34" s="37" t="str">
        <f aca="false">IF(A34&lt;&gt;"",COUNTIFS('📋 Suspens'!E:E,A34,'📋 Suspens'!O:O,"February 2026"),"")</f>
        <v/>
      </c>
      <c r="D34" s="37" t="str">
        <f aca="false">IF(A34&lt;&gt;"",COUNTIFS('📋 Suspens'!E:E,A34,'📋 Suspens'!O:O,"March 2026"),"")</f>
        <v/>
      </c>
      <c r="E34" s="37" t="str">
        <f aca="false">IF(A34&lt;&gt;"",COUNTIFS('📋 Suspens'!E:E,A34,'📋 Suspens'!O:O,"April 2026"),"")</f>
        <v/>
      </c>
      <c r="F34" s="37" t="str">
        <f aca="false">IF(A34&lt;&gt;"",COUNTIFS('📋 Suspens'!E:E,A34,'📋 Suspens'!O:O,"May 2026"),"")</f>
        <v/>
      </c>
      <c r="G34" s="37" t="str">
        <f aca="false">IF(A34&lt;&gt;"",COUNTIFS('📋 Suspens'!E:E,A34,'📋 Suspens'!O:O,"June 2026"),"")</f>
        <v/>
      </c>
      <c r="H34" s="37" t="str">
        <f aca="false">IF(A34&lt;&gt;"",COUNTIFS('📋 Suspens'!E:E,A34,'📋 Suspens'!O:O,"July 2026"),"")</f>
        <v/>
      </c>
      <c r="I34" s="37" t="str">
        <f aca="false">IF(A34&lt;&gt;"",COUNTIFS('📋 Suspens'!E:E,A34,'📋 Suspens'!O:O,"August 2026"),"")</f>
        <v/>
      </c>
      <c r="J34" s="37" t="str">
        <f aca="false">IF(A34&lt;&gt;"",COUNTIFS('📋 Suspens'!E:E,A34,'📋 Suspens'!O:O,"September 2026"),"")</f>
        <v/>
      </c>
      <c r="K34" s="37" t="str">
        <f aca="false">IF(A34&lt;&gt;"",COUNTIFS('📋 Suspens'!E:E,A34,'📋 Suspens'!O:O,"October 2026"),"")</f>
        <v/>
      </c>
      <c r="L34" s="37" t="str">
        <f aca="false">IF(A34&lt;&gt;"",COUNTIFS('📋 Suspens'!E:E,A34,'📋 Suspens'!O:O,"November 2026"),"")</f>
        <v/>
      </c>
      <c r="M34" s="37" t="str">
        <f aca="false">IF(A34&lt;&gt;"",COUNTIFS('📋 Suspens'!E:E,A34,'📋 Suspens'!O:O,"December 2026"),"")</f>
        <v/>
      </c>
    </row>
    <row r="35" customFormat="false" ht="21.75" hidden="false" customHeight="true" outlineLevel="0" collapsed="false">
      <c r="A35" s="65" t="str">
        <f aca="false">IF('⚙️ Parametres'!C25&lt;&gt;"",'⚙️ Parametres'!C25,"")</f>
        <v/>
      </c>
      <c r="B35" s="30" t="str">
        <f aca="false">IF(A35&lt;&gt;"",COUNTIFS('📋 Suspens'!E:E,A35,'📋 Suspens'!O:O,"January 2026"),"")</f>
        <v/>
      </c>
      <c r="C35" s="30" t="str">
        <f aca="false">IF(A35&lt;&gt;"",COUNTIFS('📋 Suspens'!E:E,A35,'📋 Suspens'!O:O,"February 2026"),"")</f>
        <v/>
      </c>
      <c r="D35" s="30" t="str">
        <f aca="false">IF(A35&lt;&gt;"",COUNTIFS('📋 Suspens'!E:E,A35,'📋 Suspens'!O:O,"March 2026"),"")</f>
        <v/>
      </c>
      <c r="E35" s="30" t="str">
        <f aca="false">IF(A35&lt;&gt;"",COUNTIFS('📋 Suspens'!E:E,A35,'📋 Suspens'!O:O,"April 2026"),"")</f>
        <v/>
      </c>
      <c r="F35" s="30" t="str">
        <f aca="false">IF(A35&lt;&gt;"",COUNTIFS('📋 Suspens'!E:E,A35,'📋 Suspens'!O:O,"May 2026"),"")</f>
        <v/>
      </c>
      <c r="G35" s="30" t="str">
        <f aca="false">IF(A35&lt;&gt;"",COUNTIFS('📋 Suspens'!E:E,A35,'📋 Suspens'!O:O,"June 2026"),"")</f>
        <v/>
      </c>
      <c r="H35" s="30" t="str">
        <f aca="false">IF(A35&lt;&gt;"",COUNTIFS('📋 Suspens'!E:E,A35,'📋 Suspens'!O:O,"July 2026"),"")</f>
        <v/>
      </c>
      <c r="I35" s="30" t="str">
        <f aca="false">IF(A35&lt;&gt;"",COUNTIFS('📋 Suspens'!E:E,A35,'📋 Suspens'!O:O,"August 2026"),"")</f>
        <v/>
      </c>
      <c r="J35" s="30" t="str">
        <f aca="false">IF(A35&lt;&gt;"",COUNTIFS('📋 Suspens'!E:E,A35,'📋 Suspens'!O:O,"September 2026"),"")</f>
        <v/>
      </c>
      <c r="K35" s="30" t="str">
        <f aca="false">IF(A35&lt;&gt;"",COUNTIFS('📋 Suspens'!E:E,A35,'📋 Suspens'!O:O,"October 2026"),"")</f>
        <v/>
      </c>
      <c r="L35" s="30" t="str">
        <f aca="false">IF(A35&lt;&gt;"",COUNTIFS('📋 Suspens'!E:E,A35,'📋 Suspens'!O:O,"November 2026"),"")</f>
        <v/>
      </c>
      <c r="M35" s="30" t="str">
        <f aca="false">IF(A35&lt;&gt;"",COUNTIFS('📋 Suspens'!E:E,A35,'📋 Suspens'!O:O,"December 2026"),"")</f>
        <v/>
      </c>
    </row>
    <row r="36" customFormat="false" ht="21.75" hidden="false" customHeight="true" outlineLevel="0" collapsed="false">
      <c r="A36" s="61" t="str">
        <f aca="false">IF('⚙️ Parametres'!C26&lt;&gt;"",'⚙️ Parametres'!C26,"")</f>
        <v/>
      </c>
      <c r="B36" s="37" t="str">
        <f aca="false">IF(A36&lt;&gt;"",COUNTIFS('📋 Suspens'!E:E,A36,'📋 Suspens'!O:O,"January 2026"),"")</f>
        <v/>
      </c>
      <c r="C36" s="37" t="str">
        <f aca="false">IF(A36&lt;&gt;"",COUNTIFS('📋 Suspens'!E:E,A36,'📋 Suspens'!O:O,"February 2026"),"")</f>
        <v/>
      </c>
      <c r="D36" s="37" t="str">
        <f aca="false">IF(A36&lt;&gt;"",COUNTIFS('📋 Suspens'!E:E,A36,'📋 Suspens'!O:O,"March 2026"),"")</f>
        <v/>
      </c>
      <c r="E36" s="37" t="str">
        <f aca="false">IF(A36&lt;&gt;"",COUNTIFS('📋 Suspens'!E:E,A36,'📋 Suspens'!O:O,"April 2026"),"")</f>
        <v/>
      </c>
      <c r="F36" s="37" t="str">
        <f aca="false">IF(A36&lt;&gt;"",COUNTIFS('📋 Suspens'!E:E,A36,'📋 Suspens'!O:O,"May 2026"),"")</f>
        <v/>
      </c>
      <c r="G36" s="37" t="str">
        <f aca="false">IF(A36&lt;&gt;"",COUNTIFS('📋 Suspens'!E:E,A36,'📋 Suspens'!O:O,"June 2026"),"")</f>
        <v/>
      </c>
      <c r="H36" s="37" t="str">
        <f aca="false">IF(A36&lt;&gt;"",COUNTIFS('📋 Suspens'!E:E,A36,'📋 Suspens'!O:O,"July 2026"),"")</f>
        <v/>
      </c>
      <c r="I36" s="37" t="str">
        <f aca="false">IF(A36&lt;&gt;"",COUNTIFS('📋 Suspens'!E:E,A36,'📋 Suspens'!O:O,"August 2026"),"")</f>
        <v/>
      </c>
      <c r="J36" s="37" t="str">
        <f aca="false">IF(A36&lt;&gt;"",COUNTIFS('📋 Suspens'!E:E,A36,'📋 Suspens'!O:O,"September 2026"),"")</f>
        <v/>
      </c>
      <c r="K36" s="37" t="str">
        <f aca="false">IF(A36&lt;&gt;"",COUNTIFS('📋 Suspens'!E:E,A36,'📋 Suspens'!O:O,"October 2026"),"")</f>
        <v/>
      </c>
      <c r="L36" s="37" t="str">
        <f aca="false">IF(A36&lt;&gt;"",COUNTIFS('📋 Suspens'!E:E,A36,'📋 Suspens'!O:O,"November 2026"),"")</f>
        <v/>
      </c>
      <c r="M36" s="37" t="str">
        <f aca="false">IF(A36&lt;&gt;"",COUNTIFS('📋 Suspens'!E:E,A36,'📋 Suspens'!O:O,"December 2026"),"")</f>
        <v/>
      </c>
    </row>
    <row r="37" customFormat="false" ht="21.75" hidden="false" customHeight="true" outlineLevel="0" collapsed="false">
      <c r="A37" s="65" t="str">
        <f aca="false">IF('⚙️ Parametres'!C27&lt;&gt;"",'⚙️ Parametres'!C27,"")</f>
        <v/>
      </c>
      <c r="B37" s="30" t="str">
        <f aca="false">IF(A37&lt;&gt;"",COUNTIFS('📋 Suspens'!E:E,A37,'📋 Suspens'!O:O,"January 2026"),"")</f>
        <v/>
      </c>
      <c r="C37" s="30" t="str">
        <f aca="false">IF(A37&lt;&gt;"",COUNTIFS('📋 Suspens'!E:E,A37,'📋 Suspens'!O:O,"February 2026"),"")</f>
        <v/>
      </c>
      <c r="D37" s="30" t="str">
        <f aca="false">IF(A37&lt;&gt;"",COUNTIFS('📋 Suspens'!E:E,A37,'📋 Suspens'!O:O,"March 2026"),"")</f>
        <v/>
      </c>
      <c r="E37" s="30" t="str">
        <f aca="false">IF(A37&lt;&gt;"",COUNTIFS('📋 Suspens'!E:E,A37,'📋 Suspens'!O:O,"April 2026"),"")</f>
        <v/>
      </c>
      <c r="F37" s="30" t="str">
        <f aca="false">IF(A37&lt;&gt;"",COUNTIFS('📋 Suspens'!E:E,A37,'📋 Suspens'!O:O,"May 2026"),"")</f>
        <v/>
      </c>
      <c r="G37" s="30" t="str">
        <f aca="false">IF(A37&lt;&gt;"",COUNTIFS('📋 Suspens'!E:E,A37,'📋 Suspens'!O:O,"June 2026"),"")</f>
        <v/>
      </c>
      <c r="H37" s="30" t="str">
        <f aca="false">IF(A37&lt;&gt;"",COUNTIFS('📋 Suspens'!E:E,A37,'📋 Suspens'!O:O,"July 2026"),"")</f>
        <v/>
      </c>
      <c r="I37" s="30" t="str">
        <f aca="false">IF(A37&lt;&gt;"",COUNTIFS('📋 Suspens'!E:E,A37,'📋 Suspens'!O:O,"August 2026"),"")</f>
        <v/>
      </c>
      <c r="J37" s="30" t="str">
        <f aca="false">IF(A37&lt;&gt;"",COUNTIFS('📋 Suspens'!E:E,A37,'📋 Suspens'!O:O,"September 2026"),"")</f>
        <v/>
      </c>
      <c r="K37" s="30" t="str">
        <f aca="false">IF(A37&lt;&gt;"",COUNTIFS('📋 Suspens'!E:E,A37,'📋 Suspens'!O:O,"October 2026"),"")</f>
        <v/>
      </c>
      <c r="L37" s="30" t="str">
        <f aca="false">IF(A37&lt;&gt;"",COUNTIFS('📋 Suspens'!E:E,A37,'📋 Suspens'!O:O,"November 2026"),"")</f>
        <v/>
      </c>
      <c r="M37" s="30" t="str">
        <f aca="false">IF(A37&lt;&gt;"",COUNTIFS('📋 Suspens'!E:E,A37,'📋 Suspens'!O:O,"December 2026"),"")</f>
        <v/>
      </c>
    </row>
    <row r="38" customFormat="false" ht="21.75" hidden="false" customHeight="true" outlineLevel="0" collapsed="false">
      <c r="A38" s="61" t="str">
        <f aca="false">IF('⚙️ Parametres'!C28&lt;&gt;"",'⚙️ Parametres'!C28,"")</f>
        <v/>
      </c>
      <c r="B38" s="37" t="str">
        <f aca="false">IF(A38&lt;&gt;"",COUNTIFS('📋 Suspens'!E:E,A38,'📋 Suspens'!O:O,"January 2026"),"")</f>
        <v/>
      </c>
      <c r="C38" s="37" t="str">
        <f aca="false">IF(A38&lt;&gt;"",COUNTIFS('📋 Suspens'!E:E,A38,'📋 Suspens'!O:O,"February 2026"),"")</f>
        <v/>
      </c>
      <c r="D38" s="37" t="str">
        <f aca="false">IF(A38&lt;&gt;"",COUNTIFS('📋 Suspens'!E:E,A38,'📋 Suspens'!O:O,"March 2026"),"")</f>
        <v/>
      </c>
      <c r="E38" s="37" t="str">
        <f aca="false">IF(A38&lt;&gt;"",COUNTIFS('📋 Suspens'!E:E,A38,'📋 Suspens'!O:O,"April 2026"),"")</f>
        <v/>
      </c>
      <c r="F38" s="37" t="str">
        <f aca="false">IF(A38&lt;&gt;"",COUNTIFS('📋 Suspens'!E:E,A38,'📋 Suspens'!O:O,"May 2026"),"")</f>
        <v/>
      </c>
      <c r="G38" s="37" t="str">
        <f aca="false">IF(A38&lt;&gt;"",COUNTIFS('📋 Suspens'!E:E,A38,'📋 Suspens'!O:O,"June 2026"),"")</f>
        <v/>
      </c>
      <c r="H38" s="37" t="str">
        <f aca="false">IF(A38&lt;&gt;"",COUNTIFS('📋 Suspens'!E:E,A38,'📋 Suspens'!O:O,"July 2026"),"")</f>
        <v/>
      </c>
      <c r="I38" s="37" t="str">
        <f aca="false">IF(A38&lt;&gt;"",COUNTIFS('📋 Suspens'!E:E,A38,'📋 Suspens'!O:O,"August 2026"),"")</f>
        <v/>
      </c>
      <c r="J38" s="37" t="str">
        <f aca="false">IF(A38&lt;&gt;"",COUNTIFS('📋 Suspens'!E:E,A38,'📋 Suspens'!O:O,"September 2026"),"")</f>
        <v/>
      </c>
      <c r="K38" s="37" t="str">
        <f aca="false">IF(A38&lt;&gt;"",COUNTIFS('📋 Suspens'!E:E,A38,'📋 Suspens'!O:O,"October 2026"),"")</f>
        <v/>
      </c>
      <c r="L38" s="37" t="str">
        <f aca="false">IF(A38&lt;&gt;"",COUNTIFS('📋 Suspens'!E:E,A38,'📋 Suspens'!O:O,"November 2026"),"")</f>
        <v/>
      </c>
      <c r="M38" s="37" t="str">
        <f aca="false">IF(A38&lt;&gt;"",COUNTIFS('📋 Suspens'!E:E,A38,'📋 Suspens'!O:O,"December 2026"),"")</f>
        <v/>
      </c>
    </row>
    <row r="39" customFormat="false" ht="21.75" hidden="false" customHeight="true" outlineLevel="0" collapsed="false">
      <c r="A39" s="65" t="str">
        <f aca="false">IF('⚙️ Parametres'!C29&lt;&gt;"",'⚙️ Parametres'!C29,"")</f>
        <v/>
      </c>
      <c r="B39" s="30" t="str">
        <f aca="false">IF(A39&lt;&gt;"",COUNTIFS('📋 Suspens'!E:E,A39,'📋 Suspens'!O:O,"January 2026"),"")</f>
        <v/>
      </c>
      <c r="C39" s="30" t="str">
        <f aca="false">IF(A39&lt;&gt;"",COUNTIFS('📋 Suspens'!E:E,A39,'📋 Suspens'!O:O,"February 2026"),"")</f>
        <v/>
      </c>
      <c r="D39" s="30" t="str">
        <f aca="false">IF(A39&lt;&gt;"",COUNTIFS('📋 Suspens'!E:E,A39,'📋 Suspens'!O:O,"March 2026"),"")</f>
        <v/>
      </c>
      <c r="E39" s="30" t="str">
        <f aca="false">IF(A39&lt;&gt;"",COUNTIFS('📋 Suspens'!E:E,A39,'📋 Suspens'!O:O,"April 2026"),"")</f>
        <v/>
      </c>
      <c r="F39" s="30" t="str">
        <f aca="false">IF(A39&lt;&gt;"",COUNTIFS('📋 Suspens'!E:E,A39,'📋 Suspens'!O:O,"May 2026"),"")</f>
        <v/>
      </c>
      <c r="G39" s="30" t="str">
        <f aca="false">IF(A39&lt;&gt;"",COUNTIFS('📋 Suspens'!E:E,A39,'📋 Suspens'!O:O,"June 2026"),"")</f>
        <v/>
      </c>
      <c r="H39" s="30" t="str">
        <f aca="false">IF(A39&lt;&gt;"",COUNTIFS('📋 Suspens'!E:E,A39,'📋 Suspens'!O:O,"July 2026"),"")</f>
        <v/>
      </c>
      <c r="I39" s="30" t="str">
        <f aca="false">IF(A39&lt;&gt;"",COUNTIFS('📋 Suspens'!E:E,A39,'📋 Suspens'!O:O,"August 2026"),"")</f>
        <v/>
      </c>
      <c r="J39" s="30" t="str">
        <f aca="false">IF(A39&lt;&gt;"",COUNTIFS('📋 Suspens'!E:E,A39,'📋 Suspens'!O:O,"September 2026"),"")</f>
        <v/>
      </c>
      <c r="K39" s="30" t="str">
        <f aca="false">IF(A39&lt;&gt;"",COUNTIFS('📋 Suspens'!E:E,A39,'📋 Suspens'!O:O,"October 2026"),"")</f>
        <v/>
      </c>
      <c r="L39" s="30" t="str">
        <f aca="false">IF(A39&lt;&gt;"",COUNTIFS('📋 Suspens'!E:E,A39,'📋 Suspens'!O:O,"November 2026"),"")</f>
        <v/>
      </c>
      <c r="M39" s="30" t="str">
        <f aca="false">IF(A39&lt;&gt;"",COUNTIFS('📋 Suspens'!E:E,A39,'📋 Suspens'!O:O,"December 2026"),"")</f>
        <v/>
      </c>
    </row>
    <row r="40" customFormat="false" ht="21.75" hidden="false" customHeight="true" outlineLevel="0" collapsed="false">
      <c r="A40" s="61" t="str">
        <f aca="false">IF('⚙️ Parametres'!C30&lt;&gt;"",'⚙️ Parametres'!C30,"")</f>
        <v/>
      </c>
      <c r="B40" s="37" t="str">
        <f aca="false">IF(A40&lt;&gt;"",COUNTIFS('📋 Suspens'!E:E,A40,'📋 Suspens'!O:O,"January 2026"),"")</f>
        <v/>
      </c>
      <c r="C40" s="37" t="str">
        <f aca="false">IF(A40&lt;&gt;"",COUNTIFS('📋 Suspens'!E:E,A40,'📋 Suspens'!O:O,"February 2026"),"")</f>
        <v/>
      </c>
      <c r="D40" s="37" t="str">
        <f aca="false">IF(A40&lt;&gt;"",COUNTIFS('📋 Suspens'!E:E,A40,'📋 Suspens'!O:O,"March 2026"),"")</f>
        <v/>
      </c>
      <c r="E40" s="37" t="str">
        <f aca="false">IF(A40&lt;&gt;"",COUNTIFS('📋 Suspens'!E:E,A40,'📋 Suspens'!O:O,"April 2026"),"")</f>
        <v/>
      </c>
      <c r="F40" s="37" t="str">
        <f aca="false">IF(A40&lt;&gt;"",COUNTIFS('📋 Suspens'!E:E,A40,'📋 Suspens'!O:O,"May 2026"),"")</f>
        <v/>
      </c>
      <c r="G40" s="37" t="str">
        <f aca="false">IF(A40&lt;&gt;"",COUNTIFS('📋 Suspens'!E:E,A40,'📋 Suspens'!O:O,"June 2026"),"")</f>
        <v/>
      </c>
      <c r="H40" s="37" t="str">
        <f aca="false">IF(A40&lt;&gt;"",COUNTIFS('📋 Suspens'!E:E,A40,'📋 Suspens'!O:O,"July 2026"),"")</f>
        <v/>
      </c>
      <c r="I40" s="37" t="str">
        <f aca="false">IF(A40&lt;&gt;"",COUNTIFS('📋 Suspens'!E:E,A40,'📋 Suspens'!O:O,"August 2026"),"")</f>
        <v/>
      </c>
      <c r="J40" s="37" t="str">
        <f aca="false">IF(A40&lt;&gt;"",COUNTIFS('📋 Suspens'!E:E,A40,'📋 Suspens'!O:O,"September 2026"),"")</f>
        <v/>
      </c>
      <c r="K40" s="37" t="str">
        <f aca="false">IF(A40&lt;&gt;"",COUNTIFS('📋 Suspens'!E:E,A40,'📋 Suspens'!O:O,"October 2026"),"")</f>
        <v/>
      </c>
      <c r="L40" s="37" t="str">
        <f aca="false">IF(A40&lt;&gt;"",COUNTIFS('📋 Suspens'!E:E,A40,'📋 Suspens'!O:O,"November 2026"),"")</f>
        <v/>
      </c>
      <c r="M40" s="37" t="str">
        <f aca="false">IF(A40&lt;&gt;"",COUNTIFS('📋 Suspens'!E:E,A40,'📋 Suspens'!O:O,"December 2026"),"")</f>
        <v/>
      </c>
    </row>
    <row r="41" customFormat="false" ht="21.75" hidden="false" customHeight="true" outlineLevel="0" collapsed="false">
      <c r="A41" s="65" t="str">
        <f aca="false">IF('⚙️ Parametres'!C31&lt;&gt;"",'⚙️ Parametres'!C31,"")</f>
        <v>-&gt; Mis a jour automatiquement a chaque actualisation Access</v>
      </c>
      <c r="B41" s="30" t="n">
        <f aca="false">IF(A41&lt;&gt;"",COUNTIFS('📋 Suspens'!E:E,A41,'📋 Suspens'!O:O,"January 2026"),"")</f>
        <v>0</v>
      </c>
      <c r="C41" s="30" t="n">
        <f aca="false">IF(A41&lt;&gt;"",COUNTIFS('📋 Suspens'!E:E,A41,'📋 Suspens'!O:O,"February 2026"),"")</f>
        <v>0</v>
      </c>
      <c r="D41" s="30" t="n">
        <f aca="false">IF(A41&lt;&gt;"",COUNTIFS('📋 Suspens'!E:E,A41,'📋 Suspens'!O:O,"March 2026"),"")</f>
        <v>0</v>
      </c>
      <c r="E41" s="30" t="n">
        <f aca="false">IF(A41&lt;&gt;"",COUNTIFS('📋 Suspens'!E:E,A41,'📋 Suspens'!O:O,"April 2026"),"")</f>
        <v>0</v>
      </c>
      <c r="F41" s="30" t="n">
        <f aca="false">IF(A41&lt;&gt;"",COUNTIFS('📋 Suspens'!E:E,A41,'📋 Suspens'!O:O,"May 2026"),"")</f>
        <v>0</v>
      </c>
      <c r="G41" s="30" t="n">
        <f aca="false">IF(A41&lt;&gt;"",COUNTIFS('📋 Suspens'!E:E,A41,'📋 Suspens'!O:O,"June 2026"),"")</f>
        <v>0</v>
      </c>
      <c r="H41" s="30" t="n">
        <f aca="false">IF(A41&lt;&gt;"",COUNTIFS('📋 Suspens'!E:E,A41,'📋 Suspens'!O:O,"July 2026"),"")</f>
        <v>0</v>
      </c>
      <c r="I41" s="30" t="n">
        <f aca="false">IF(A41&lt;&gt;"",COUNTIFS('📋 Suspens'!E:E,A41,'📋 Suspens'!O:O,"August 2026"),"")</f>
        <v>0</v>
      </c>
      <c r="J41" s="30" t="n">
        <f aca="false">IF(A41&lt;&gt;"",COUNTIFS('📋 Suspens'!E:E,A41,'📋 Suspens'!O:O,"September 2026"),"")</f>
        <v>0</v>
      </c>
      <c r="K41" s="30" t="n">
        <f aca="false">IF(A41&lt;&gt;"",COUNTIFS('📋 Suspens'!E:E,A41,'📋 Suspens'!O:O,"October 2026"),"")</f>
        <v>0</v>
      </c>
      <c r="L41" s="30" t="n">
        <f aca="false">IF(A41&lt;&gt;"",COUNTIFS('📋 Suspens'!E:E,A41,'📋 Suspens'!O:O,"November 2026"),"")</f>
        <v>0</v>
      </c>
      <c r="M41" s="30" t="n">
        <f aca="false">IF(A41&lt;&gt;"",COUNTIFS('📋 Suspens'!E:E,A41,'📋 Suspens'!O:O,"December 2026"),"")</f>
        <v>0</v>
      </c>
    </row>
    <row r="42" customFormat="false" ht="21.75" hidden="false" customHeight="true" outlineLevel="0" collapsed="false">
      <c r="A42" s="61" t="str">
        <f aca="false">IF('⚙️ Parametres'!C32&lt;&gt;"",'⚙️ Parametres'!C32,"")</f>
        <v/>
      </c>
      <c r="B42" s="37" t="str">
        <f aca="false">IF(A42&lt;&gt;"",COUNTIFS('📋 Suspens'!E:E,A42,'📋 Suspens'!O:O,"January 2026"),"")</f>
        <v/>
      </c>
      <c r="C42" s="37" t="str">
        <f aca="false">IF(A42&lt;&gt;"",COUNTIFS('📋 Suspens'!E:E,A42,'📋 Suspens'!O:O,"February 2026"),"")</f>
        <v/>
      </c>
      <c r="D42" s="37" t="str">
        <f aca="false">IF(A42&lt;&gt;"",COUNTIFS('📋 Suspens'!E:E,A42,'📋 Suspens'!O:O,"March 2026"),"")</f>
        <v/>
      </c>
      <c r="E42" s="37" t="str">
        <f aca="false">IF(A42&lt;&gt;"",COUNTIFS('📋 Suspens'!E:E,A42,'📋 Suspens'!O:O,"April 2026"),"")</f>
        <v/>
      </c>
      <c r="F42" s="37" t="str">
        <f aca="false">IF(A42&lt;&gt;"",COUNTIFS('📋 Suspens'!E:E,A42,'📋 Suspens'!O:O,"May 2026"),"")</f>
        <v/>
      </c>
      <c r="G42" s="37" t="str">
        <f aca="false">IF(A42&lt;&gt;"",COUNTIFS('📋 Suspens'!E:E,A42,'📋 Suspens'!O:O,"June 2026"),"")</f>
        <v/>
      </c>
      <c r="H42" s="37" t="str">
        <f aca="false">IF(A42&lt;&gt;"",COUNTIFS('📋 Suspens'!E:E,A42,'📋 Suspens'!O:O,"July 2026"),"")</f>
        <v/>
      </c>
      <c r="I42" s="37" t="str">
        <f aca="false">IF(A42&lt;&gt;"",COUNTIFS('📋 Suspens'!E:E,A42,'📋 Suspens'!O:O,"August 2026"),"")</f>
        <v/>
      </c>
      <c r="J42" s="37" t="str">
        <f aca="false">IF(A42&lt;&gt;"",COUNTIFS('📋 Suspens'!E:E,A42,'📋 Suspens'!O:O,"September 2026"),"")</f>
        <v/>
      </c>
      <c r="K42" s="37" t="str">
        <f aca="false">IF(A42&lt;&gt;"",COUNTIFS('📋 Suspens'!E:E,A42,'📋 Suspens'!O:O,"October 2026"),"")</f>
        <v/>
      </c>
      <c r="L42" s="37" t="str">
        <f aca="false">IF(A42&lt;&gt;"",COUNTIFS('📋 Suspens'!E:E,A42,'📋 Suspens'!O:O,"November 2026"),"")</f>
        <v/>
      </c>
      <c r="M42" s="37" t="str">
        <f aca="false">IF(A42&lt;&gt;"",COUNTIFS('📋 Suspens'!E:E,A42,'📋 Suspens'!O:O,"December 2026"),"")</f>
        <v/>
      </c>
    </row>
    <row r="43" customFormat="false" ht="21.75" hidden="false" customHeight="true" outlineLevel="0" collapsed="false">
      <c r="A43" s="65" t="str">
        <f aca="false">IF('⚙️ Parametres'!C33&lt;&gt;"",'⚙️ Parametres'!C33,"")</f>
        <v/>
      </c>
      <c r="B43" s="30" t="str">
        <f aca="false">IF(A43&lt;&gt;"",COUNTIFS('📋 Suspens'!E:E,A43,'📋 Suspens'!O:O,"January 2026"),"")</f>
        <v/>
      </c>
      <c r="C43" s="30" t="str">
        <f aca="false">IF(A43&lt;&gt;"",COUNTIFS('📋 Suspens'!E:E,A43,'📋 Suspens'!O:O,"February 2026"),"")</f>
        <v/>
      </c>
      <c r="D43" s="30" t="str">
        <f aca="false">IF(A43&lt;&gt;"",COUNTIFS('📋 Suspens'!E:E,A43,'📋 Suspens'!O:O,"March 2026"),"")</f>
        <v/>
      </c>
      <c r="E43" s="30" t="str">
        <f aca="false">IF(A43&lt;&gt;"",COUNTIFS('📋 Suspens'!E:E,A43,'📋 Suspens'!O:O,"April 2026"),"")</f>
        <v/>
      </c>
      <c r="F43" s="30" t="str">
        <f aca="false">IF(A43&lt;&gt;"",COUNTIFS('📋 Suspens'!E:E,A43,'📋 Suspens'!O:O,"May 2026"),"")</f>
        <v/>
      </c>
      <c r="G43" s="30" t="str">
        <f aca="false">IF(A43&lt;&gt;"",COUNTIFS('📋 Suspens'!E:E,A43,'📋 Suspens'!O:O,"June 2026"),"")</f>
        <v/>
      </c>
      <c r="H43" s="30" t="str">
        <f aca="false">IF(A43&lt;&gt;"",COUNTIFS('📋 Suspens'!E:E,A43,'📋 Suspens'!O:O,"July 2026"),"")</f>
        <v/>
      </c>
      <c r="I43" s="30" t="str">
        <f aca="false">IF(A43&lt;&gt;"",COUNTIFS('📋 Suspens'!E:E,A43,'📋 Suspens'!O:O,"August 2026"),"")</f>
        <v/>
      </c>
      <c r="J43" s="30" t="str">
        <f aca="false">IF(A43&lt;&gt;"",COUNTIFS('📋 Suspens'!E:E,A43,'📋 Suspens'!O:O,"September 2026"),"")</f>
        <v/>
      </c>
      <c r="K43" s="30" t="str">
        <f aca="false">IF(A43&lt;&gt;"",COUNTIFS('📋 Suspens'!E:E,A43,'📋 Suspens'!O:O,"October 2026"),"")</f>
        <v/>
      </c>
      <c r="L43" s="30" t="str">
        <f aca="false">IF(A43&lt;&gt;"",COUNTIFS('📋 Suspens'!E:E,A43,'📋 Suspens'!O:O,"November 2026"),"")</f>
        <v/>
      </c>
      <c r="M43" s="30" t="str">
        <f aca="false">IF(A43&lt;&gt;"",COUNTIFS('📋 Suspens'!E:E,A43,'📋 Suspens'!O:O,"December 2026"),"")</f>
        <v/>
      </c>
    </row>
    <row r="44" customFormat="false" ht="21.75" hidden="false" customHeight="true" outlineLevel="0" collapsed="false">
      <c r="A44" s="61" t="str">
        <f aca="false">IF('⚙️ Parametres'!C34&lt;&gt;"",'⚙️ Parametres'!C34,"")</f>
        <v/>
      </c>
      <c r="B44" s="37" t="str">
        <f aca="false">IF(A44&lt;&gt;"",COUNTIFS('📋 Suspens'!E:E,A44,'📋 Suspens'!O:O,"January 2026"),"")</f>
        <v/>
      </c>
      <c r="C44" s="37" t="str">
        <f aca="false">IF(A44&lt;&gt;"",COUNTIFS('📋 Suspens'!E:E,A44,'📋 Suspens'!O:O,"February 2026"),"")</f>
        <v/>
      </c>
      <c r="D44" s="37" t="str">
        <f aca="false">IF(A44&lt;&gt;"",COUNTIFS('📋 Suspens'!E:E,A44,'📋 Suspens'!O:O,"March 2026"),"")</f>
        <v/>
      </c>
      <c r="E44" s="37" t="str">
        <f aca="false">IF(A44&lt;&gt;"",COUNTIFS('📋 Suspens'!E:E,A44,'📋 Suspens'!O:O,"April 2026"),"")</f>
        <v/>
      </c>
      <c r="F44" s="37" t="str">
        <f aca="false">IF(A44&lt;&gt;"",COUNTIFS('📋 Suspens'!E:E,A44,'📋 Suspens'!O:O,"May 2026"),"")</f>
        <v/>
      </c>
      <c r="G44" s="37" t="str">
        <f aca="false">IF(A44&lt;&gt;"",COUNTIFS('📋 Suspens'!E:E,A44,'📋 Suspens'!O:O,"June 2026"),"")</f>
        <v/>
      </c>
      <c r="H44" s="37" t="str">
        <f aca="false">IF(A44&lt;&gt;"",COUNTIFS('📋 Suspens'!E:E,A44,'📋 Suspens'!O:O,"July 2026"),"")</f>
        <v/>
      </c>
      <c r="I44" s="37" t="str">
        <f aca="false">IF(A44&lt;&gt;"",COUNTIFS('📋 Suspens'!E:E,A44,'📋 Suspens'!O:O,"August 2026"),"")</f>
        <v/>
      </c>
      <c r="J44" s="37" t="str">
        <f aca="false">IF(A44&lt;&gt;"",COUNTIFS('📋 Suspens'!E:E,A44,'📋 Suspens'!O:O,"September 2026"),"")</f>
        <v/>
      </c>
      <c r="K44" s="37" t="str">
        <f aca="false">IF(A44&lt;&gt;"",COUNTIFS('📋 Suspens'!E:E,A44,'📋 Suspens'!O:O,"October 2026"),"")</f>
        <v/>
      </c>
      <c r="L44" s="37" t="str">
        <f aca="false">IF(A44&lt;&gt;"",COUNTIFS('📋 Suspens'!E:E,A44,'📋 Suspens'!O:O,"November 2026"),"")</f>
        <v/>
      </c>
      <c r="M44" s="37" t="str">
        <f aca="false">IF(A44&lt;&gt;"",COUNTIFS('📋 Suspens'!E:E,A44,'📋 Suspens'!O:O,"December 2026"),"")</f>
        <v/>
      </c>
    </row>
    <row r="45" customFormat="false" ht="21.75" hidden="false" customHeight="true" outlineLevel="0" collapsed="false">
      <c r="A45" s="65" t="str">
        <f aca="false">IF('⚙️ Parametres'!C35&lt;&gt;"",'⚙️ Parametres'!C35,"")</f>
        <v/>
      </c>
      <c r="B45" s="30" t="str">
        <f aca="false">IF(A45&lt;&gt;"",COUNTIFS('📋 Suspens'!E:E,A45,'📋 Suspens'!O:O,"January 2026"),"")</f>
        <v/>
      </c>
      <c r="C45" s="30" t="str">
        <f aca="false">IF(A45&lt;&gt;"",COUNTIFS('📋 Suspens'!E:E,A45,'📋 Suspens'!O:O,"February 2026"),"")</f>
        <v/>
      </c>
      <c r="D45" s="30" t="str">
        <f aca="false">IF(A45&lt;&gt;"",COUNTIFS('📋 Suspens'!E:E,A45,'📋 Suspens'!O:O,"March 2026"),"")</f>
        <v/>
      </c>
      <c r="E45" s="30" t="str">
        <f aca="false">IF(A45&lt;&gt;"",COUNTIFS('📋 Suspens'!E:E,A45,'📋 Suspens'!O:O,"April 2026"),"")</f>
        <v/>
      </c>
      <c r="F45" s="30" t="str">
        <f aca="false">IF(A45&lt;&gt;"",COUNTIFS('📋 Suspens'!E:E,A45,'📋 Suspens'!O:O,"May 2026"),"")</f>
        <v/>
      </c>
      <c r="G45" s="30" t="str">
        <f aca="false">IF(A45&lt;&gt;"",COUNTIFS('📋 Suspens'!E:E,A45,'📋 Suspens'!O:O,"June 2026"),"")</f>
        <v/>
      </c>
      <c r="H45" s="30" t="str">
        <f aca="false">IF(A45&lt;&gt;"",COUNTIFS('📋 Suspens'!E:E,A45,'📋 Suspens'!O:O,"July 2026"),"")</f>
        <v/>
      </c>
      <c r="I45" s="30" t="str">
        <f aca="false">IF(A45&lt;&gt;"",COUNTIFS('📋 Suspens'!E:E,A45,'📋 Suspens'!O:O,"August 2026"),"")</f>
        <v/>
      </c>
      <c r="J45" s="30" t="str">
        <f aca="false">IF(A45&lt;&gt;"",COUNTIFS('📋 Suspens'!E:E,A45,'📋 Suspens'!O:O,"September 2026"),"")</f>
        <v/>
      </c>
      <c r="K45" s="30" t="str">
        <f aca="false">IF(A45&lt;&gt;"",COUNTIFS('📋 Suspens'!E:E,A45,'📋 Suspens'!O:O,"October 2026"),"")</f>
        <v/>
      </c>
      <c r="L45" s="30" t="str">
        <f aca="false">IF(A45&lt;&gt;"",COUNTIFS('📋 Suspens'!E:E,A45,'📋 Suspens'!O:O,"November 2026"),"")</f>
        <v/>
      </c>
      <c r="M45" s="30" t="str">
        <f aca="false">IF(A45&lt;&gt;"",COUNTIFS('📋 Suspens'!E:E,A45,'📋 Suspens'!O:O,"December 2026"),"")</f>
        <v/>
      </c>
    </row>
    <row r="46" customFormat="false" ht="21.75" hidden="false" customHeight="true" outlineLevel="0" collapsed="false">
      <c r="A46" s="61" t="str">
        <f aca="false">IF('⚙️ Parametres'!C36&lt;&gt;"",'⚙️ Parametres'!C36,"")</f>
        <v/>
      </c>
      <c r="B46" s="37" t="str">
        <f aca="false">IF(A46&lt;&gt;"",COUNTIFS('📋 Suspens'!E:E,A46,'📋 Suspens'!O:O,"January 2026"),"")</f>
        <v/>
      </c>
      <c r="C46" s="37" t="str">
        <f aca="false">IF(A46&lt;&gt;"",COUNTIFS('📋 Suspens'!E:E,A46,'📋 Suspens'!O:O,"February 2026"),"")</f>
        <v/>
      </c>
      <c r="D46" s="37" t="str">
        <f aca="false">IF(A46&lt;&gt;"",COUNTIFS('📋 Suspens'!E:E,A46,'📋 Suspens'!O:O,"March 2026"),"")</f>
        <v/>
      </c>
      <c r="E46" s="37" t="str">
        <f aca="false">IF(A46&lt;&gt;"",COUNTIFS('📋 Suspens'!E:E,A46,'📋 Suspens'!O:O,"April 2026"),"")</f>
        <v/>
      </c>
      <c r="F46" s="37" t="str">
        <f aca="false">IF(A46&lt;&gt;"",COUNTIFS('📋 Suspens'!E:E,A46,'📋 Suspens'!O:O,"May 2026"),"")</f>
        <v/>
      </c>
      <c r="G46" s="37" t="str">
        <f aca="false">IF(A46&lt;&gt;"",COUNTIFS('📋 Suspens'!E:E,A46,'📋 Suspens'!O:O,"June 2026"),"")</f>
        <v/>
      </c>
      <c r="H46" s="37" t="str">
        <f aca="false">IF(A46&lt;&gt;"",COUNTIFS('📋 Suspens'!E:E,A46,'📋 Suspens'!O:O,"July 2026"),"")</f>
        <v/>
      </c>
      <c r="I46" s="37" t="str">
        <f aca="false">IF(A46&lt;&gt;"",COUNTIFS('📋 Suspens'!E:E,A46,'📋 Suspens'!O:O,"August 2026"),"")</f>
        <v/>
      </c>
      <c r="J46" s="37" t="str">
        <f aca="false">IF(A46&lt;&gt;"",COUNTIFS('📋 Suspens'!E:E,A46,'📋 Suspens'!O:O,"September 2026"),"")</f>
        <v/>
      </c>
      <c r="K46" s="37" t="str">
        <f aca="false">IF(A46&lt;&gt;"",COUNTIFS('📋 Suspens'!E:E,A46,'📋 Suspens'!O:O,"October 2026"),"")</f>
        <v/>
      </c>
      <c r="L46" s="37" t="str">
        <f aca="false">IF(A46&lt;&gt;"",COUNTIFS('📋 Suspens'!E:E,A46,'📋 Suspens'!O:O,"November 2026"),"")</f>
        <v/>
      </c>
      <c r="M46" s="37" t="str">
        <f aca="false">IF(A46&lt;&gt;"",COUNTIFS('📋 Suspens'!E:E,A46,'📋 Suspens'!O:O,"December 2026"),"")</f>
        <v/>
      </c>
    </row>
    <row r="47" customFormat="false" ht="21.75" hidden="false" customHeight="true" outlineLevel="0" collapsed="false">
      <c r="A47" s="65" t="str">
        <f aca="false">IF('⚙️ Parametres'!C37&lt;&gt;"",'⚙️ Parametres'!C37,"")</f>
        <v/>
      </c>
      <c r="B47" s="30" t="str">
        <f aca="false">IF(A47&lt;&gt;"",COUNTIFS('📋 Suspens'!E:E,A47,'📋 Suspens'!O:O,"January 2026"),"")</f>
        <v/>
      </c>
      <c r="C47" s="30" t="str">
        <f aca="false">IF(A47&lt;&gt;"",COUNTIFS('📋 Suspens'!E:E,A47,'📋 Suspens'!O:O,"February 2026"),"")</f>
        <v/>
      </c>
      <c r="D47" s="30" t="str">
        <f aca="false">IF(A47&lt;&gt;"",COUNTIFS('📋 Suspens'!E:E,A47,'📋 Suspens'!O:O,"March 2026"),"")</f>
        <v/>
      </c>
      <c r="E47" s="30" t="str">
        <f aca="false">IF(A47&lt;&gt;"",COUNTIFS('📋 Suspens'!E:E,A47,'📋 Suspens'!O:O,"April 2026"),"")</f>
        <v/>
      </c>
      <c r="F47" s="30" t="str">
        <f aca="false">IF(A47&lt;&gt;"",COUNTIFS('📋 Suspens'!E:E,A47,'📋 Suspens'!O:O,"May 2026"),"")</f>
        <v/>
      </c>
      <c r="G47" s="30" t="str">
        <f aca="false">IF(A47&lt;&gt;"",COUNTIFS('📋 Suspens'!E:E,A47,'📋 Suspens'!O:O,"June 2026"),"")</f>
        <v/>
      </c>
      <c r="H47" s="30" t="str">
        <f aca="false">IF(A47&lt;&gt;"",COUNTIFS('📋 Suspens'!E:E,A47,'📋 Suspens'!O:O,"July 2026"),"")</f>
        <v/>
      </c>
      <c r="I47" s="30" t="str">
        <f aca="false">IF(A47&lt;&gt;"",COUNTIFS('📋 Suspens'!E:E,A47,'📋 Suspens'!O:O,"August 2026"),"")</f>
        <v/>
      </c>
      <c r="J47" s="30" t="str">
        <f aca="false">IF(A47&lt;&gt;"",COUNTIFS('📋 Suspens'!E:E,A47,'📋 Suspens'!O:O,"September 2026"),"")</f>
        <v/>
      </c>
      <c r="K47" s="30" t="str">
        <f aca="false">IF(A47&lt;&gt;"",COUNTIFS('📋 Suspens'!E:E,A47,'📋 Suspens'!O:O,"October 2026"),"")</f>
        <v/>
      </c>
      <c r="L47" s="30" t="str">
        <f aca="false">IF(A47&lt;&gt;"",COUNTIFS('📋 Suspens'!E:E,A47,'📋 Suspens'!O:O,"November 2026"),"")</f>
        <v/>
      </c>
      <c r="M47" s="30" t="str">
        <f aca="false">IF(A47&lt;&gt;"",COUNTIFS('📋 Suspens'!E:E,A47,'📋 Suspens'!O:O,"December 2026"),"")</f>
        <v/>
      </c>
    </row>
    <row r="48" customFormat="false" ht="21.75" hidden="false" customHeight="true" outlineLevel="0" collapsed="false">
      <c r="A48" s="61" t="str">
        <f aca="false">IF('⚙️ Parametres'!C38&lt;&gt;"",'⚙️ Parametres'!C38,"")</f>
        <v/>
      </c>
      <c r="B48" s="37" t="str">
        <f aca="false">IF(A48&lt;&gt;"",COUNTIFS('📋 Suspens'!E:E,A48,'📋 Suspens'!O:O,"January 2026"),"")</f>
        <v/>
      </c>
      <c r="C48" s="37" t="str">
        <f aca="false">IF(A48&lt;&gt;"",COUNTIFS('📋 Suspens'!E:E,A48,'📋 Suspens'!O:O,"February 2026"),"")</f>
        <v/>
      </c>
      <c r="D48" s="37" t="str">
        <f aca="false">IF(A48&lt;&gt;"",COUNTIFS('📋 Suspens'!E:E,A48,'📋 Suspens'!O:O,"March 2026"),"")</f>
        <v/>
      </c>
      <c r="E48" s="37" t="str">
        <f aca="false">IF(A48&lt;&gt;"",COUNTIFS('📋 Suspens'!E:E,A48,'📋 Suspens'!O:O,"April 2026"),"")</f>
        <v/>
      </c>
      <c r="F48" s="37" t="str">
        <f aca="false">IF(A48&lt;&gt;"",COUNTIFS('📋 Suspens'!E:E,A48,'📋 Suspens'!O:O,"May 2026"),"")</f>
        <v/>
      </c>
      <c r="G48" s="37" t="str">
        <f aca="false">IF(A48&lt;&gt;"",COUNTIFS('📋 Suspens'!E:E,A48,'📋 Suspens'!O:O,"June 2026"),"")</f>
        <v/>
      </c>
      <c r="H48" s="37" t="str">
        <f aca="false">IF(A48&lt;&gt;"",COUNTIFS('📋 Suspens'!E:E,A48,'📋 Suspens'!O:O,"July 2026"),"")</f>
        <v/>
      </c>
      <c r="I48" s="37" t="str">
        <f aca="false">IF(A48&lt;&gt;"",COUNTIFS('📋 Suspens'!E:E,A48,'📋 Suspens'!O:O,"August 2026"),"")</f>
        <v/>
      </c>
      <c r="J48" s="37" t="str">
        <f aca="false">IF(A48&lt;&gt;"",COUNTIFS('📋 Suspens'!E:E,A48,'📋 Suspens'!O:O,"September 2026"),"")</f>
        <v/>
      </c>
      <c r="K48" s="37" t="str">
        <f aca="false">IF(A48&lt;&gt;"",COUNTIFS('📋 Suspens'!E:E,A48,'📋 Suspens'!O:O,"October 2026"),"")</f>
        <v/>
      </c>
      <c r="L48" s="37" t="str">
        <f aca="false">IF(A48&lt;&gt;"",COUNTIFS('📋 Suspens'!E:E,A48,'📋 Suspens'!O:O,"November 2026"),"")</f>
        <v/>
      </c>
      <c r="M48" s="37" t="str">
        <f aca="false">IF(A48&lt;&gt;"",COUNTIFS('📋 Suspens'!E:E,A48,'📋 Suspens'!O:O,"December 2026"),"")</f>
        <v/>
      </c>
    </row>
    <row r="49" customFormat="false" ht="21.75" hidden="false" customHeight="true" outlineLevel="0" collapsed="false">
      <c r="A49" s="65" t="str">
        <f aca="false">IF('⚙️ Parametres'!C39&lt;&gt;"",'⚙️ Parametres'!C39,"")</f>
        <v/>
      </c>
      <c r="B49" s="30" t="str">
        <f aca="false">IF(A49&lt;&gt;"",COUNTIFS('📋 Suspens'!E:E,A49,'📋 Suspens'!O:O,"January 2026"),"")</f>
        <v/>
      </c>
      <c r="C49" s="30" t="str">
        <f aca="false">IF(A49&lt;&gt;"",COUNTIFS('📋 Suspens'!E:E,A49,'📋 Suspens'!O:O,"February 2026"),"")</f>
        <v/>
      </c>
      <c r="D49" s="30" t="str">
        <f aca="false">IF(A49&lt;&gt;"",COUNTIFS('📋 Suspens'!E:E,A49,'📋 Suspens'!O:O,"March 2026"),"")</f>
        <v/>
      </c>
      <c r="E49" s="30" t="str">
        <f aca="false">IF(A49&lt;&gt;"",COUNTIFS('📋 Suspens'!E:E,A49,'📋 Suspens'!O:O,"April 2026"),"")</f>
        <v/>
      </c>
      <c r="F49" s="30" t="str">
        <f aca="false">IF(A49&lt;&gt;"",COUNTIFS('📋 Suspens'!E:E,A49,'📋 Suspens'!O:O,"May 2026"),"")</f>
        <v/>
      </c>
      <c r="G49" s="30" t="str">
        <f aca="false">IF(A49&lt;&gt;"",COUNTIFS('📋 Suspens'!E:E,A49,'📋 Suspens'!O:O,"June 2026"),"")</f>
        <v/>
      </c>
      <c r="H49" s="30" t="str">
        <f aca="false">IF(A49&lt;&gt;"",COUNTIFS('📋 Suspens'!E:E,A49,'📋 Suspens'!O:O,"July 2026"),"")</f>
        <v/>
      </c>
      <c r="I49" s="30" t="str">
        <f aca="false">IF(A49&lt;&gt;"",COUNTIFS('📋 Suspens'!E:E,A49,'📋 Suspens'!O:O,"August 2026"),"")</f>
        <v/>
      </c>
      <c r="J49" s="30" t="str">
        <f aca="false">IF(A49&lt;&gt;"",COUNTIFS('📋 Suspens'!E:E,A49,'📋 Suspens'!O:O,"September 2026"),"")</f>
        <v/>
      </c>
      <c r="K49" s="30" t="str">
        <f aca="false">IF(A49&lt;&gt;"",COUNTIFS('📋 Suspens'!E:E,A49,'📋 Suspens'!O:O,"October 2026"),"")</f>
        <v/>
      </c>
      <c r="L49" s="30" t="str">
        <f aca="false">IF(A49&lt;&gt;"",COUNTIFS('📋 Suspens'!E:E,A49,'📋 Suspens'!O:O,"November 2026"),"")</f>
        <v/>
      </c>
      <c r="M49" s="30" t="str">
        <f aca="false">IF(A49&lt;&gt;"",COUNTIFS('📋 Suspens'!E:E,A49,'📋 Suspens'!O:O,"December 2026"),"")</f>
        <v/>
      </c>
    </row>
    <row r="50" customFormat="false" ht="21.75" hidden="false" customHeight="true" outlineLevel="0" collapsed="false">
      <c r="A50" s="61" t="str">
        <f aca="false">IF('⚙️ Parametres'!C40&lt;&gt;"",'⚙️ Parametres'!C40,"")</f>
        <v/>
      </c>
      <c r="B50" s="37" t="str">
        <f aca="false">IF(A50&lt;&gt;"",COUNTIFS('📋 Suspens'!E:E,A50,'📋 Suspens'!O:O,"January 2026"),"")</f>
        <v/>
      </c>
      <c r="C50" s="37" t="str">
        <f aca="false">IF(A50&lt;&gt;"",COUNTIFS('📋 Suspens'!E:E,A50,'📋 Suspens'!O:O,"February 2026"),"")</f>
        <v/>
      </c>
      <c r="D50" s="37" t="str">
        <f aca="false">IF(A50&lt;&gt;"",COUNTIFS('📋 Suspens'!E:E,A50,'📋 Suspens'!O:O,"March 2026"),"")</f>
        <v/>
      </c>
      <c r="E50" s="37" t="str">
        <f aca="false">IF(A50&lt;&gt;"",COUNTIFS('📋 Suspens'!E:E,A50,'📋 Suspens'!O:O,"April 2026"),"")</f>
        <v/>
      </c>
      <c r="F50" s="37" t="str">
        <f aca="false">IF(A50&lt;&gt;"",COUNTIFS('📋 Suspens'!E:E,A50,'📋 Suspens'!O:O,"May 2026"),"")</f>
        <v/>
      </c>
      <c r="G50" s="37" t="str">
        <f aca="false">IF(A50&lt;&gt;"",COUNTIFS('📋 Suspens'!E:E,A50,'📋 Suspens'!O:O,"June 2026"),"")</f>
        <v/>
      </c>
      <c r="H50" s="37" t="str">
        <f aca="false">IF(A50&lt;&gt;"",COUNTIFS('📋 Suspens'!E:E,A50,'📋 Suspens'!O:O,"July 2026"),"")</f>
        <v/>
      </c>
      <c r="I50" s="37" t="str">
        <f aca="false">IF(A50&lt;&gt;"",COUNTIFS('📋 Suspens'!E:E,A50,'📋 Suspens'!O:O,"August 2026"),"")</f>
        <v/>
      </c>
      <c r="J50" s="37" t="str">
        <f aca="false">IF(A50&lt;&gt;"",COUNTIFS('📋 Suspens'!E:E,A50,'📋 Suspens'!O:O,"September 2026"),"")</f>
        <v/>
      </c>
      <c r="K50" s="37" t="str">
        <f aca="false">IF(A50&lt;&gt;"",COUNTIFS('📋 Suspens'!E:E,A50,'📋 Suspens'!O:O,"October 2026"),"")</f>
        <v/>
      </c>
      <c r="L50" s="37" t="str">
        <f aca="false">IF(A50&lt;&gt;"",COUNTIFS('📋 Suspens'!E:E,A50,'📋 Suspens'!O:O,"November 2026"),"")</f>
        <v/>
      </c>
      <c r="M50" s="37" t="str">
        <f aca="false">IF(A50&lt;&gt;"",COUNTIFS('📋 Suspens'!E:E,A50,'📋 Suspens'!O:O,"December 2026"),"")</f>
        <v/>
      </c>
    </row>
    <row r="51" customFormat="false" ht="21.75" hidden="false" customHeight="true" outlineLevel="0" collapsed="false">
      <c r="A51" s="65" t="str">
        <f aca="false">IF('⚙️ Parametres'!C41&lt;&gt;"",'⚙️ Parametres'!C41,"")</f>
        <v/>
      </c>
      <c r="B51" s="30" t="str">
        <f aca="false">IF(A51&lt;&gt;"",COUNTIFS('📋 Suspens'!E:E,A51,'📋 Suspens'!O:O,"January 2026"),"")</f>
        <v/>
      </c>
      <c r="C51" s="30" t="str">
        <f aca="false">IF(A51&lt;&gt;"",COUNTIFS('📋 Suspens'!E:E,A51,'📋 Suspens'!O:O,"February 2026"),"")</f>
        <v/>
      </c>
      <c r="D51" s="30" t="str">
        <f aca="false">IF(A51&lt;&gt;"",COUNTIFS('📋 Suspens'!E:E,A51,'📋 Suspens'!O:O,"March 2026"),"")</f>
        <v/>
      </c>
      <c r="E51" s="30" t="str">
        <f aca="false">IF(A51&lt;&gt;"",COUNTIFS('📋 Suspens'!E:E,A51,'📋 Suspens'!O:O,"April 2026"),"")</f>
        <v/>
      </c>
      <c r="F51" s="30" t="str">
        <f aca="false">IF(A51&lt;&gt;"",COUNTIFS('📋 Suspens'!E:E,A51,'📋 Suspens'!O:O,"May 2026"),"")</f>
        <v/>
      </c>
      <c r="G51" s="30" t="str">
        <f aca="false">IF(A51&lt;&gt;"",COUNTIFS('📋 Suspens'!E:E,A51,'📋 Suspens'!O:O,"June 2026"),"")</f>
        <v/>
      </c>
      <c r="H51" s="30" t="str">
        <f aca="false">IF(A51&lt;&gt;"",COUNTIFS('📋 Suspens'!E:E,A51,'📋 Suspens'!O:O,"July 2026"),"")</f>
        <v/>
      </c>
      <c r="I51" s="30" t="str">
        <f aca="false">IF(A51&lt;&gt;"",COUNTIFS('📋 Suspens'!E:E,A51,'📋 Suspens'!O:O,"August 2026"),"")</f>
        <v/>
      </c>
      <c r="J51" s="30" t="str">
        <f aca="false">IF(A51&lt;&gt;"",COUNTIFS('📋 Suspens'!E:E,A51,'📋 Suspens'!O:O,"September 2026"),"")</f>
        <v/>
      </c>
      <c r="K51" s="30" t="str">
        <f aca="false">IF(A51&lt;&gt;"",COUNTIFS('📋 Suspens'!E:E,A51,'📋 Suspens'!O:O,"October 2026"),"")</f>
        <v/>
      </c>
      <c r="L51" s="30" t="str">
        <f aca="false">IF(A51&lt;&gt;"",COUNTIFS('📋 Suspens'!E:E,A51,'📋 Suspens'!O:O,"November 2026"),"")</f>
        <v/>
      </c>
      <c r="M51" s="30" t="str">
        <f aca="false">IF(A51&lt;&gt;"",COUNTIFS('📋 Suspens'!E:E,A51,'📋 Suspens'!O:O,"December 2026"),"")</f>
        <v/>
      </c>
    </row>
    <row r="52" customFormat="false" ht="21.75" hidden="false" customHeight="true" outlineLevel="0" collapsed="false">
      <c r="A52" s="61" t="str">
        <f aca="false">IF('⚙️ Parametres'!C42&lt;&gt;"",'⚙️ Parametres'!C42,"")</f>
        <v/>
      </c>
      <c r="B52" s="37" t="str">
        <f aca="false">IF(A52&lt;&gt;"",COUNTIFS('📋 Suspens'!E:E,A52,'📋 Suspens'!O:O,"January 2026"),"")</f>
        <v/>
      </c>
      <c r="C52" s="37" t="str">
        <f aca="false">IF(A52&lt;&gt;"",COUNTIFS('📋 Suspens'!E:E,A52,'📋 Suspens'!O:O,"February 2026"),"")</f>
        <v/>
      </c>
      <c r="D52" s="37" t="str">
        <f aca="false">IF(A52&lt;&gt;"",COUNTIFS('📋 Suspens'!E:E,A52,'📋 Suspens'!O:O,"March 2026"),"")</f>
        <v/>
      </c>
      <c r="E52" s="37" t="str">
        <f aca="false">IF(A52&lt;&gt;"",COUNTIFS('📋 Suspens'!E:E,A52,'📋 Suspens'!O:O,"April 2026"),"")</f>
        <v/>
      </c>
      <c r="F52" s="37" t="str">
        <f aca="false">IF(A52&lt;&gt;"",COUNTIFS('📋 Suspens'!E:E,A52,'📋 Suspens'!O:O,"May 2026"),"")</f>
        <v/>
      </c>
      <c r="G52" s="37" t="str">
        <f aca="false">IF(A52&lt;&gt;"",COUNTIFS('📋 Suspens'!E:E,A52,'📋 Suspens'!O:O,"June 2026"),"")</f>
        <v/>
      </c>
      <c r="H52" s="37" t="str">
        <f aca="false">IF(A52&lt;&gt;"",COUNTIFS('📋 Suspens'!E:E,A52,'📋 Suspens'!O:O,"July 2026"),"")</f>
        <v/>
      </c>
      <c r="I52" s="37" t="str">
        <f aca="false">IF(A52&lt;&gt;"",COUNTIFS('📋 Suspens'!E:E,A52,'📋 Suspens'!O:O,"August 2026"),"")</f>
        <v/>
      </c>
      <c r="J52" s="37" t="str">
        <f aca="false">IF(A52&lt;&gt;"",COUNTIFS('📋 Suspens'!E:E,A52,'📋 Suspens'!O:O,"September 2026"),"")</f>
        <v/>
      </c>
      <c r="K52" s="37" t="str">
        <f aca="false">IF(A52&lt;&gt;"",COUNTIFS('📋 Suspens'!E:E,A52,'📋 Suspens'!O:O,"October 2026"),"")</f>
        <v/>
      </c>
      <c r="L52" s="37" t="str">
        <f aca="false">IF(A52&lt;&gt;"",COUNTIFS('📋 Suspens'!E:E,A52,'📋 Suspens'!O:O,"November 2026"),"")</f>
        <v/>
      </c>
      <c r="M52" s="37" t="str">
        <f aca="false">IF(A52&lt;&gt;"",COUNTIFS('📋 Suspens'!E:E,A52,'📋 Suspens'!O:O,"December 2026"),"")</f>
        <v/>
      </c>
    </row>
    <row r="53" customFormat="false" ht="21.75" hidden="false" customHeight="true" outlineLevel="0" collapsed="false">
      <c r="A53" s="65" t="str">
        <f aca="false">IF('⚙️ Parametres'!C43&lt;&gt;"",'⚙️ Parametres'!C43,"")</f>
        <v/>
      </c>
      <c r="B53" s="30" t="str">
        <f aca="false">IF(A53&lt;&gt;"",COUNTIFS('📋 Suspens'!E:E,A53,'📋 Suspens'!O:O,"January 2026"),"")</f>
        <v/>
      </c>
      <c r="C53" s="30" t="str">
        <f aca="false">IF(A53&lt;&gt;"",COUNTIFS('📋 Suspens'!E:E,A53,'📋 Suspens'!O:O,"February 2026"),"")</f>
        <v/>
      </c>
      <c r="D53" s="30" t="str">
        <f aca="false">IF(A53&lt;&gt;"",COUNTIFS('📋 Suspens'!E:E,A53,'📋 Suspens'!O:O,"March 2026"),"")</f>
        <v/>
      </c>
      <c r="E53" s="30" t="str">
        <f aca="false">IF(A53&lt;&gt;"",COUNTIFS('📋 Suspens'!E:E,A53,'📋 Suspens'!O:O,"April 2026"),"")</f>
        <v/>
      </c>
      <c r="F53" s="30" t="str">
        <f aca="false">IF(A53&lt;&gt;"",COUNTIFS('📋 Suspens'!E:E,A53,'📋 Suspens'!O:O,"May 2026"),"")</f>
        <v/>
      </c>
      <c r="G53" s="30" t="str">
        <f aca="false">IF(A53&lt;&gt;"",COUNTIFS('📋 Suspens'!E:E,A53,'📋 Suspens'!O:O,"June 2026"),"")</f>
        <v/>
      </c>
      <c r="H53" s="30" t="str">
        <f aca="false">IF(A53&lt;&gt;"",COUNTIFS('📋 Suspens'!E:E,A53,'📋 Suspens'!O:O,"July 2026"),"")</f>
        <v/>
      </c>
      <c r="I53" s="30" t="str">
        <f aca="false">IF(A53&lt;&gt;"",COUNTIFS('📋 Suspens'!E:E,A53,'📋 Suspens'!O:O,"August 2026"),"")</f>
        <v/>
      </c>
      <c r="J53" s="30" t="str">
        <f aca="false">IF(A53&lt;&gt;"",COUNTIFS('📋 Suspens'!E:E,A53,'📋 Suspens'!O:O,"September 2026"),"")</f>
        <v/>
      </c>
      <c r="K53" s="30" t="str">
        <f aca="false">IF(A53&lt;&gt;"",COUNTIFS('📋 Suspens'!E:E,A53,'📋 Suspens'!O:O,"October 2026"),"")</f>
        <v/>
      </c>
      <c r="L53" s="30" t="str">
        <f aca="false">IF(A53&lt;&gt;"",COUNTIFS('📋 Suspens'!E:E,A53,'📋 Suspens'!O:O,"November 2026"),"")</f>
        <v/>
      </c>
      <c r="M53" s="30" t="str">
        <f aca="false">IF(A53&lt;&gt;"",COUNTIFS('📋 Suspens'!E:E,A53,'📋 Suspens'!O:O,"December 2026"),"")</f>
        <v/>
      </c>
    </row>
    <row r="54" customFormat="false" ht="21.75" hidden="false" customHeight="true" outlineLevel="0" collapsed="false">
      <c r="A54" s="61" t="str">
        <f aca="false">IF('⚙️ Parametres'!C44&lt;&gt;"",'⚙️ Parametres'!C44,"")</f>
        <v/>
      </c>
      <c r="B54" s="37" t="str">
        <f aca="false">IF(A54&lt;&gt;"",COUNTIFS('📋 Suspens'!E:E,A54,'📋 Suspens'!O:O,"January 2026"),"")</f>
        <v/>
      </c>
      <c r="C54" s="37" t="str">
        <f aca="false">IF(A54&lt;&gt;"",COUNTIFS('📋 Suspens'!E:E,A54,'📋 Suspens'!O:O,"February 2026"),"")</f>
        <v/>
      </c>
      <c r="D54" s="37" t="str">
        <f aca="false">IF(A54&lt;&gt;"",COUNTIFS('📋 Suspens'!E:E,A54,'📋 Suspens'!O:O,"March 2026"),"")</f>
        <v/>
      </c>
      <c r="E54" s="37" t="str">
        <f aca="false">IF(A54&lt;&gt;"",COUNTIFS('📋 Suspens'!E:E,A54,'📋 Suspens'!O:O,"April 2026"),"")</f>
        <v/>
      </c>
      <c r="F54" s="37" t="str">
        <f aca="false">IF(A54&lt;&gt;"",COUNTIFS('📋 Suspens'!E:E,A54,'📋 Suspens'!O:O,"May 2026"),"")</f>
        <v/>
      </c>
      <c r="G54" s="37" t="str">
        <f aca="false">IF(A54&lt;&gt;"",COUNTIFS('📋 Suspens'!E:E,A54,'📋 Suspens'!O:O,"June 2026"),"")</f>
        <v/>
      </c>
      <c r="H54" s="37" t="str">
        <f aca="false">IF(A54&lt;&gt;"",COUNTIFS('📋 Suspens'!E:E,A54,'📋 Suspens'!O:O,"July 2026"),"")</f>
        <v/>
      </c>
      <c r="I54" s="37" t="str">
        <f aca="false">IF(A54&lt;&gt;"",COUNTIFS('📋 Suspens'!E:E,A54,'📋 Suspens'!O:O,"August 2026"),"")</f>
        <v/>
      </c>
      <c r="J54" s="37" t="str">
        <f aca="false">IF(A54&lt;&gt;"",COUNTIFS('📋 Suspens'!E:E,A54,'📋 Suspens'!O:O,"September 2026"),"")</f>
        <v/>
      </c>
      <c r="K54" s="37" t="str">
        <f aca="false">IF(A54&lt;&gt;"",COUNTIFS('📋 Suspens'!E:E,A54,'📋 Suspens'!O:O,"October 2026"),"")</f>
        <v/>
      </c>
      <c r="L54" s="37" t="str">
        <f aca="false">IF(A54&lt;&gt;"",COUNTIFS('📋 Suspens'!E:E,A54,'📋 Suspens'!O:O,"November 2026"),"")</f>
        <v/>
      </c>
      <c r="M54" s="37" t="str">
        <f aca="false">IF(A54&lt;&gt;"",COUNTIFS('📋 Suspens'!E:E,A54,'📋 Suspens'!O:O,"December 2026"),"")</f>
        <v/>
      </c>
    </row>
    <row r="55" customFormat="false" ht="21.75" hidden="false" customHeight="true" outlineLevel="0" collapsed="false">
      <c r="A55" s="65" t="str">
        <f aca="false">IF('⚙️ Parametres'!C45&lt;&gt;"",'⚙️ Parametres'!C45,"")</f>
        <v/>
      </c>
      <c r="B55" s="30" t="str">
        <f aca="false">IF(A55&lt;&gt;"",COUNTIFS('📋 Suspens'!E:E,A55,'📋 Suspens'!O:O,"January 2026"),"")</f>
        <v/>
      </c>
      <c r="C55" s="30" t="str">
        <f aca="false">IF(A55&lt;&gt;"",COUNTIFS('📋 Suspens'!E:E,A55,'📋 Suspens'!O:O,"February 2026"),"")</f>
        <v/>
      </c>
      <c r="D55" s="30" t="str">
        <f aca="false">IF(A55&lt;&gt;"",COUNTIFS('📋 Suspens'!E:E,A55,'📋 Suspens'!O:O,"March 2026"),"")</f>
        <v/>
      </c>
      <c r="E55" s="30" t="str">
        <f aca="false">IF(A55&lt;&gt;"",COUNTIFS('📋 Suspens'!E:E,A55,'📋 Suspens'!O:O,"April 2026"),"")</f>
        <v/>
      </c>
      <c r="F55" s="30" t="str">
        <f aca="false">IF(A55&lt;&gt;"",COUNTIFS('📋 Suspens'!E:E,A55,'📋 Suspens'!O:O,"May 2026"),"")</f>
        <v/>
      </c>
      <c r="G55" s="30" t="str">
        <f aca="false">IF(A55&lt;&gt;"",COUNTIFS('📋 Suspens'!E:E,A55,'📋 Suspens'!O:O,"June 2026"),"")</f>
        <v/>
      </c>
      <c r="H55" s="30" t="str">
        <f aca="false">IF(A55&lt;&gt;"",COUNTIFS('📋 Suspens'!E:E,A55,'📋 Suspens'!O:O,"July 2026"),"")</f>
        <v/>
      </c>
      <c r="I55" s="30" t="str">
        <f aca="false">IF(A55&lt;&gt;"",COUNTIFS('📋 Suspens'!E:E,A55,'📋 Suspens'!O:O,"August 2026"),"")</f>
        <v/>
      </c>
      <c r="J55" s="30" t="str">
        <f aca="false">IF(A55&lt;&gt;"",COUNTIFS('📋 Suspens'!E:E,A55,'📋 Suspens'!O:O,"September 2026"),"")</f>
        <v/>
      </c>
      <c r="K55" s="30" t="str">
        <f aca="false">IF(A55&lt;&gt;"",COUNTIFS('📋 Suspens'!E:E,A55,'📋 Suspens'!O:O,"October 2026"),"")</f>
        <v/>
      </c>
      <c r="L55" s="30" t="str">
        <f aca="false">IF(A55&lt;&gt;"",COUNTIFS('📋 Suspens'!E:E,A55,'📋 Suspens'!O:O,"November 2026"),"")</f>
        <v/>
      </c>
      <c r="M55" s="30" t="str">
        <f aca="false">IF(A55&lt;&gt;"",COUNTIFS('📋 Suspens'!E:E,A55,'📋 Suspens'!O:O,"December 2026"),"")</f>
        <v/>
      </c>
    </row>
    <row r="56" customFormat="false" ht="21.75" hidden="false" customHeight="true" outlineLevel="0" collapsed="false">
      <c r="A56" s="61" t="str">
        <f aca="false">IF('⚙️ Parametres'!C46&lt;&gt;"",'⚙️ Parametres'!C46,"")</f>
        <v/>
      </c>
      <c r="B56" s="37" t="str">
        <f aca="false">IF(A56&lt;&gt;"",COUNTIFS('📋 Suspens'!E:E,A56,'📋 Suspens'!O:O,"January 2026"),"")</f>
        <v/>
      </c>
      <c r="C56" s="37" t="str">
        <f aca="false">IF(A56&lt;&gt;"",COUNTIFS('📋 Suspens'!E:E,A56,'📋 Suspens'!O:O,"February 2026"),"")</f>
        <v/>
      </c>
      <c r="D56" s="37" t="str">
        <f aca="false">IF(A56&lt;&gt;"",COUNTIFS('📋 Suspens'!E:E,A56,'📋 Suspens'!O:O,"March 2026"),"")</f>
        <v/>
      </c>
      <c r="E56" s="37" t="str">
        <f aca="false">IF(A56&lt;&gt;"",COUNTIFS('📋 Suspens'!E:E,A56,'📋 Suspens'!O:O,"April 2026"),"")</f>
        <v/>
      </c>
      <c r="F56" s="37" t="str">
        <f aca="false">IF(A56&lt;&gt;"",COUNTIFS('📋 Suspens'!E:E,A56,'📋 Suspens'!O:O,"May 2026"),"")</f>
        <v/>
      </c>
      <c r="G56" s="37" t="str">
        <f aca="false">IF(A56&lt;&gt;"",COUNTIFS('📋 Suspens'!E:E,A56,'📋 Suspens'!O:O,"June 2026"),"")</f>
        <v/>
      </c>
      <c r="H56" s="37" t="str">
        <f aca="false">IF(A56&lt;&gt;"",COUNTIFS('📋 Suspens'!E:E,A56,'📋 Suspens'!O:O,"July 2026"),"")</f>
        <v/>
      </c>
      <c r="I56" s="37" t="str">
        <f aca="false">IF(A56&lt;&gt;"",COUNTIFS('📋 Suspens'!E:E,A56,'📋 Suspens'!O:O,"August 2026"),"")</f>
        <v/>
      </c>
      <c r="J56" s="37" t="str">
        <f aca="false">IF(A56&lt;&gt;"",COUNTIFS('📋 Suspens'!E:E,A56,'📋 Suspens'!O:O,"September 2026"),"")</f>
        <v/>
      </c>
      <c r="K56" s="37" t="str">
        <f aca="false">IF(A56&lt;&gt;"",COUNTIFS('📋 Suspens'!E:E,A56,'📋 Suspens'!O:O,"October 2026"),"")</f>
        <v/>
      </c>
      <c r="L56" s="37" t="str">
        <f aca="false">IF(A56&lt;&gt;"",COUNTIFS('📋 Suspens'!E:E,A56,'📋 Suspens'!O:O,"November 2026"),"")</f>
        <v/>
      </c>
      <c r="M56" s="37" t="str">
        <f aca="false">IF(A56&lt;&gt;"",COUNTIFS('📋 Suspens'!E:E,A56,'📋 Suspens'!O:O,"December 2026"),"")</f>
        <v/>
      </c>
    </row>
    <row r="57" customFormat="false" ht="21.75" hidden="false" customHeight="true" outlineLevel="0" collapsed="false">
      <c r="A57" s="65" t="str">
        <f aca="false">IF('⚙️ Parametres'!C47&lt;&gt;"",'⚙️ Parametres'!C47,"")</f>
        <v/>
      </c>
      <c r="B57" s="30" t="str">
        <f aca="false">IF(A57&lt;&gt;"",COUNTIFS('📋 Suspens'!E:E,A57,'📋 Suspens'!O:O,"January 2026"),"")</f>
        <v/>
      </c>
      <c r="C57" s="30" t="str">
        <f aca="false">IF(A57&lt;&gt;"",COUNTIFS('📋 Suspens'!E:E,A57,'📋 Suspens'!O:O,"February 2026"),"")</f>
        <v/>
      </c>
      <c r="D57" s="30" t="str">
        <f aca="false">IF(A57&lt;&gt;"",COUNTIFS('📋 Suspens'!E:E,A57,'📋 Suspens'!O:O,"March 2026"),"")</f>
        <v/>
      </c>
      <c r="E57" s="30" t="str">
        <f aca="false">IF(A57&lt;&gt;"",COUNTIFS('📋 Suspens'!E:E,A57,'📋 Suspens'!O:O,"April 2026"),"")</f>
        <v/>
      </c>
      <c r="F57" s="30" t="str">
        <f aca="false">IF(A57&lt;&gt;"",COUNTIFS('📋 Suspens'!E:E,A57,'📋 Suspens'!O:O,"May 2026"),"")</f>
        <v/>
      </c>
      <c r="G57" s="30" t="str">
        <f aca="false">IF(A57&lt;&gt;"",COUNTIFS('📋 Suspens'!E:E,A57,'📋 Suspens'!O:O,"June 2026"),"")</f>
        <v/>
      </c>
      <c r="H57" s="30" t="str">
        <f aca="false">IF(A57&lt;&gt;"",COUNTIFS('📋 Suspens'!E:E,A57,'📋 Suspens'!O:O,"July 2026"),"")</f>
        <v/>
      </c>
      <c r="I57" s="30" t="str">
        <f aca="false">IF(A57&lt;&gt;"",COUNTIFS('📋 Suspens'!E:E,A57,'📋 Suspens'!O:O,"August 2026"),"")</f>
        <v/>
      </c>
      <c r="J57" s="30" t="str">
        <f aca="false">IF(A57&lt;&gt;"",COUNTIFS('📋 Suspens'!E:E,A57,'📋 Suspens'!O:O,"September 2026"),"")</f>
        <v/>
      </c>
      <c r="K57" s="30" t="str">
        <f aca="false">IF(A57&lt;&gt;"",COUNTIFS('📋 Suspens'!E:E,A57,'📋 Suspens'!O:O,"October 2026"),"")</f>
        <v/>
      </c>
      <c r="L57" s="30" t="str">
        <f aca="false">IF(A57&lt;&gt;"",COUNTIFS('📋 Suspens'!E:E,A57,'📋 Suspens'!O:O,"November 2026"),"")</f>
        <v/>
      </c>
      <c r="M57" s="30" t="str">
        <f aca="false">IF(A57&lt;&gt;"",COUNTIFS('📋 Suspens'!E:E,A57,'📋 Suspens'!O:O,"December 2026"),"")</f>
        <v/>
      </c>
    </row>
    <row r="58" customFormat="false" ht="21.75" hidden="false" customHeight="true" outlineLevel="0" collapsed="false">
      <c r="A58" s="61" t="str">
        <f aca="false">IF('⚙️ Parametres'!C48&lt;&gt;"",'⚙️ Parametres'!C48,"")</f>
        <v/>
      </c>
      <c r="B58" s="37" t="str">
        <f aca="false">IF(A58&lt;&gt;"",COUNTIFS('📋 Suspens'!E:E,A58,'📋 Suspens'!O:O,"January 2026"),"")</f>
        <v/>
      </c>
      <c r="C58" s="37" t="str">
        <f aca="false">IF(A58&lt;&gt;"",COUNTIFS('📋 Suspens'!E:E,A58,'📋 Suspens'!O:O,"February 2026"),"")</f>
        <v/>
      </c>
      <c r="D58" s="37" t="str">
        <f aca="false">IF(A58&lt;&gt;"",COUNTIFS('📋 Suspens'!E:E,A58,'📋 Suspens'!O:O,"March 2026"),"")</f>
        <v/>
      </c>
      <c r="E58" s="37" t="str">
        <f aca="false">IF(A58&lt;&gt;"",COUNTIFS('📋 Suspens'!E:E,A58,'📋 Suspens'!O:O,"April 2026"),"")</f>
        <v/>
      </c>
      <c r="F58" s="37" t="str">
        <f aca="false">IF(A58&lt;&gt;"",COUNTIFS('📋 Suspens'!E:E,A58,'📋 Suspens'!O:O,"May 2026"),"")</f>
        <v/>
      </c>
      <c r="G58" s="37" t="str">
        <f aca="false">IF(A58&lt;&gt;"",COUNTIFS('📋 Suspens'!E:E,A58,'📋 Suspens'!O:O,"June 2026"),"")</f>
        <v/>
      </c>
      <c r="H58" s="37" t="str">
        <f aca="false">IF(A58&lt;&gt;"",COUNTIFS('📋 Suspens'!E:E,A58,'📋 Suspens'!O:O,"July 2026"),"")</f>
        <v/>
      </c>
      <c r="I58" s="37" t="str">
        <f aca="false">IF(A58&lt;&gt;"",COUNTIFS('📋 Suspens'!E:E,A58,'📋 Suspens'!O:O,"August 2026"),"")</f>
        <v/>
      </c>
      <c r="J58" s="37" t="str">
        <f aca="false">IF(A58&lt;&gt;"",COUNTIFS('📋 Suspens'!E:E,A58,'📋 Suspens'!O:O,"September 2026"),"")</f>
        <v/>
      </c>
      <c r="K58" s="37" t="str">
        <f aca="false">IF(A58&lt;&gt;"",COUNTIFS('📋 Suspens'!E:E,A58,'📋 Suspens'!O:O,"October 2026"),"")</f>
        <v/>
      </c>
      <c r="L58" s="37" t="str">
        <f aca="false">IF(A58&lt;&gt;"",COUNTIFS('📋 Suspens'!E:E,A58,'📋 Suspens'!O:O,"November 2026"),"")</f>
        <v/>
      </c>
      <c r="M58" s="37" t="str">
        <f aca="false">IF(A58&lt;&gt;"",COUNTIFS('📋 Suspens'!E:E,A58,'📋 Suspens'!O:O,"December 2026"),"")</f>
        <v/>
      </c>
    </row>
    <row r="59" customFormat="false" ht="21.75" hidden="false" customHeight="true" outlineLevel="0" collapsed="false">
      <c r="A59" s="65" t="str">
        <f aca="false">IF('⚙️ Parametres'!C49&lt;&gt;"",'⚙️ Parametres'!C49,"")</f>
        <v/>
      </c>
      <c r="B59" s="30" t="str">
        <f aca="false">IF(A59&lt;&gt;"",COUNTIFS('📋 Suspens'!E:E,A59,'📋 Suspens'!O:O,"January 2026"),"")</f>
        <v/>
      </c>
      <c r="C59" s="30" t="str">
        <f aca="false">IF(A59&lt;&gt;"",COUNTIFS('📋 Suspens'!E:E,A59,'📋 Suspens'!O:O,"February 2026"),"")</f>
        <v/>
      </c>
      <c r="D59" s="30" t="str">
        <f aca="false">IF(A59&lt;&gt;"",COUNTIFS('📋 Suspens'!E:E,A59,'📋 Suspens'!O:O,"March 2026"),"")</f>
        <v/>
      </c>
      <c r="E59" s="30" t="str">
        <f aca="false">IF(A59&lt;&gt;"",COUNTIFS('📋 Suspens'!E:E,A59,'📋 Suspens'!O:O,"April 2026"),"")</f>
        <v/>
      </c>
      <c r="F59" s="30" t="str">
        <f aca="false">IF(A59&lt;&gt;"",COUNTIFS('📋 Suspens'!E:E,A59,'📋 Suspens'!O:O,"May 2026"),"")</f>
        <v/>
      </c>
      <c r="G59" s="30" t="str">
        <f aca="false">IF(A59&lt;&gt;"",COUNTIFS('📋 Suspens'!E:E,A59,'📋 Suspens'!O:O,"June 2026"),"")</f>
        <v/>
      </c>
      <c r="H59" s="30" t="str">
        <f aca="false">IF(A59&lt;&gt;"",COUNTIFS('📋 Suspens'!E:E,A59,'📋 Suspens'!O:O,"July 2026"),"")</f>
        <v/>
      </c>
      <c r="I59" s="30" t="str">
        <f aca="false">IF(A59&lt;&gt;"",COUNTIFS('📋 Suspens'!E:E,A59,'📋 Suspens'!O:O,"August 2026"),"")</f>
        <v/>
      </c>
      <c r="J59" s="30" t="str">
        <f aca="false">IF(A59&lt;&gt;"",COUNTIFS('📋 Suspens'!E:E,A59,'📋 Suspens'!O:O,"September 2026"),"")</f>
        <v/>
      </c>
      <c r="K59" s="30" t="str">
        <f aca="false">IF(A59&lt;&gt;"",COUNTIFS('📋 Suspens'!E:E,A59,'📋 Suspens'!O:O,"October 2026"),"")</f>
        <v/>
      </c>
      <c r="L59" s="30" t="str">
        <f aca="false">IF(A59&lt;&gt;"",COUNTIFS('📋 Suspens'!E:E,A59,'📋 Suspens'!O:O,"November 2026"),"")</f>
        <v/>
      </c>
      <c r="M59" s="30" t="str">
        <f aca="false">IF(A59&lt;&gt;"",COUNTIFS('📋 Suspens'!E:E,A59,'📋 Suspens'!O:O,"December 2026"),"")</f>
        <v/>
      </c>
    </row>
    <row r="60" customFormat="false" ht="21.75" hidden="false" customHeight="true" outlineLevel="0" collapsed="false">
      <c r="A60" s="61" t="str">
        <f aca="false">IF('⚙️ Parametres'!C50&lt;&gt;"",'⚙️ Parametres'!C50,"")</f>
        <v/>
      </c>
      <c r="B60" s="37" t="str">
        <f aca="false">IF(A60&lt;&gt;"",COUNTIFS('📋 Suspens'!E:E,A60,'📋 Suspens'!O:O,"January 2026"),"")</f>
        <v/>
      </c>
      <c r="C60" s="37" t="str">
        <f aca="false">IF(A60&lt;&gt;"",COUNTIFS('📋 Suspens'!E:E,A60,'📋 Suspens'!O:O,"February 2026"),"")</f>
        <v/>
      </c>
      <c r="D60" s="37" t="str">
        <f aca="false">IF(A60&lt;&gt;"",COUNTIFS('📋 Suspens'!E:E,A60,'📋 Suspens'!O:O,"March 2026"),"")</f>
        <v/>
      </c>
      <c r="E60" s="37" t="str">
        <f aca="false">IF(A60&lt;&gt;"",COUNTIFS('📋 Suspens'!E:E,A60,'📋 Suspens'!O:O,"April 2026"),"")</f>
        <v/>
      </c>
      <c r="F60" s="37" t="str">
        <f aca="false">IF(A60&lt;&gt;"",COUNTIFS('📋 Suspens'!E:E,A60,'📋 Suspens'!O:O,"May 2026"),"")</f>
        <v/>
      </c>
      <c r="G60" s="37" t="str">
        <f aca="false">IF(A60&lt;&gt;"",COUNTIFS('📋 Suspens'!E:E,A60,'📋 Suspens'!O:O,"June 2026"),"")</f>
        <v/>
      </c>
      <c r="H60" s="37" t="str">
        <f aca="false">IF(A60&lt;&gt;"",COUNTIFS('📋 Suspens'!E:E,A60,'📋 Suspens'!O:O,"July 2026"),"")</f>
        <v/>
      </c>
      <c r="I60" s="37" t="str">
        <f aca="false">IF(A60&lt;&gt;"",COUNTIFS('📋 Suspens'!E:E,A60,'📋 Suspens'!O:O,"August 2026"),"")</f>
        <v/>
      </c>
      <c r="J60" s="37" t="str">
        <f aca="false">IF(A60&lt;&gt;"",COUNTIFS('📋 Suspens'!E:E,A60,'📋 Suspens'!O:O,"September 2026"),"")</f>
        <v/>
      </c>
      <c r="K60" s="37" t="str">
        <f aca="false">IF(A60&lt;&gt;"",COUNTIFS('📋 Suspens'!E:E,A60,'📋 Suspens'!O:O,"October 2026"),"")</f>
        <v/>
      </c>
      <c r="L60" s="37" t="str">
        <f aca="false">IF(A60&lt;&gt;"",COUNTIFS('📋 Suspens'!E:E,A60,'📋 Suspens'!O:O,"November 2026"),"")</f>
        <v/>
      </c>
      <c r="M60" s="37" t="str">
        <f aca="false">IF(A60&lt;&gt;"",COUNTIFS('📋 Suspens'!E:E,A60,'📋 Suspens'!O:O,"December 2026"),"")</f>
        <v/>
      </c>
    </row>
    <row r="61" customFormat="false" ht="21.75" hidden="false" customHeight="true" outlineLevel="0" collapsed="false">
      <c r="A61" s="65" t="str">
        <f aca="false">IF('⚙️ Parametres'!C51&lt;&gt;"",'⚙️ Parametres'!C51,"")</f>
        <v/>
      </c>
      <c r="B61" s="30" t="str">
        <f aca="false">IF(A61&lt;&gt;"",COUNTIFS('📋 Suspens'!E:E,A61,'📋 Suspens'!O:O,"January 2026"),"")</f>
        <v/>
      </c>
      <c r="C61" s="30" t="str">
        <f aca="false">IF(A61&lt;&gt;"",COUNTIFS('📋 Suspens'!E:E,A61,'📋 Suspens'!O:O,"February 2026"),"")</f>
        <v/>
      </c>
      <c r="D61" s="30" t="str">
        <f aca="false">IF(A61&lt;&gt;"",COUNTIFS('📋 Suspens'!E:E,A61,'📋 Suspens'!O:O,"March 2026"),"")</f>
        <v/>
      </c>
      <c r="E61" s="30" t="str">
        <f aca="false">IF(A61&lt;&gt;"",COUNTIFS('📋 Suspens'!E:E,A61,'📋 Suspens'!O:O,"April 2026"),"")</f>
        <v/>
      </c>
      <c r="F61" s="30" t="str">
        <f aca="false">IF(A61&lt;&gt;"",COUNTIFS('📋 Suspens'!E:E,A61,'📋 Suspens'!O:O,"May 2026"),"")</f>
        <v/>
      </c>
      <c r="G61" s="30" t="str">
        <f aca="false">IF(A61&lt;&gt;"",COUNTIFS('📋 Suspens'!E:E,A61,'📋 Suspens'!O:O,"June 2026"),"")</f>
        <v/>
      </c>
      <c r="H61" s="30" t="str">
        <f aca="false">IF(A61&lt;&gt;"",COUNTIFS('📋 Suspens'!E:E,A61,'📋 Suspens'!O:O,"July 2026"),"")</f>
        <v/>
      </c>
      <c r="I61" s="30" t="str">
        <f aca="false">IF(A61&lt;&gt;"",COUNTIFS('📋 Suspens'!E:E,A61,'📋 Suspens'!O:O,"August 2026"),"")</f>
        <v/>
      </c>
      <c r="J61" s="30" t="str">
        <f aca="false">IF(A61&lt;&gt;"",COUNTIFS('📋 Suspens'!E:E,A61,'📋 Suspens'!O:O,"September 2026"),"")</f>
        <v/>
      </c>
      <c r="K61" s="30" t="str">
        <f aca="false">IF(A61&lt;&gt;"",COUNTIFS('📋 Suspens'!E:E,A61,'📋 Suspens'!O:O,"October 2026"),"")</f>
        <v/>
      </c>
      <c r="L61" s="30" t="str">
        <f aca="false">IF(A61&lt;&gt;"",COUNTIFS('📋 Suspens'!E:E,A61,'📋 Suspens'!O:O,"November 2026"),"")</f>
        <v/>
      </c>
      <c r="M61" s="30" t="str">
        <f aca="false">IF(A61&lt;&gt;"",COUNTIFS('📋 Suspens'!E:E,A61,'📋 Suspens'!O:O,"December 2026"),"")</f>
        <v/>
      </c>
    </row>
  </sheetData>
  <mergeCells count="2">
    <mergeCell ref="A1:M1"/>
    <mergeCell ref="A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4"/>
    <col collapsed="false" customWidth="true" hidden="false" outlineLevel="0" max="3" min="3" style="1" width="30"/>
    <col collapsed="false" customWidth="true" hidden="false" outlineLevel="0" max="4" min="4" style="1" width="4"/>
    <col collapsed="false" customWidth="true" hidden="false" outlineLevel="0" max="5" min="5" style="1" width="30"/>
  </cols>
  <sheetData>
    <row r="1" customFormat="false" ht="34.5" hidden="false" customHeight="true" outlineLevel="0" collapsed="false">
      <c r="A1" s="66" t="s">
        <v>125</v>
      </c>
      <c r="B1" s="66"/>
      <c r="C1" s="66"/>
      <c r="D1" s="66"/>
      <c r="E1" s="66"/>
    </row>
    <row r="2" customFormat="false" ht="26.25" hidden="false" customHeight="true" outlineLevel="0" collapsed="false">
      <c r="A2" s="67" t="s">
        <v>126</v>
      </c>
      <c r="C2" s="68" t="s">
        <v>127</v>
      </c>
      <c r="E2" s="69" t="s">
        <v>128</v>
      </c>
    </row>
    <row r="3" customFormat="false" ht="27.75" hidden="false" customHeight="true" outlineLevel="0" collapsed="false">
      <c r="A3" s="35" t="s">
        <v>65</v>
      </c>
      <c r="C3" s="35"/>
      <c r="E3" s="70" t="str">
        <f aca="false">CONFIG!B1</f>
        <v>S:\DRR_NOTIFICATION_DE_CREDIT\DEAL FLOW\OUTIL_DEAL_FLOW.accbd</v>
      </c>
    </row>
    <row r="4" customFormat="false" ht="21.75" hidden="false" customHeight="true" outlineLevel="0" collapsed="false">
      <c r="A4" s="28" t="s">
        <v>66</v>
      </c>
      <c r="C4" s="28"/>
      <c r="E4" s="71" t="s">
        <v>129</v>
      </c>
    </row>
    <row r="5" customFormat="false" ht="21.75" hidden="false" customHeight="true" outlineLevel="0" collapsed="false">
      <c r="A5" s="35" t="s">
        <v>67</v>
      </c>
      <c r="C5" s="35"/>
    </row>
    <row r="6" customFormat="false" ht="21.75" hidden="false" customHeight="true" outlineLevel="0" collapsed="false">
      <c r="A6" s="28" t="s">
        <v>68</v>
      </c>
      <c r="C6" s="28"/>
    </row>
    <row r="7" customFormat="false" ht="21.75" hidden="false" customHeight="true" outlineLevel="0" collapsed="false">
      <c r="A7" s="35" t="s">
        <v>69</v>
      </c>
      <c r="C7" s="35"/>
    </row>
    <row r="8" customFormat="false" ht="21.75" hidden="false" customHeight="true" outlineLevel="0" collapsed="false">
      <c r="A8" s="28" t="s">
        <v>70</v>
      </c>
      <c r="C8" s="28"/>
    </row>
    <row r="9" customFormat="false" ht="21.75" hidden="false" customHeight="true" outlineLevel="0" collapsed="false">
      <c r="A9" s="35" t="s">
        <v>71</v>
      </c>
      <c r="C9" s="35"/>
    </row>
    <row r="10" customFormat="false" ht="21.75" hidden="false" customHeight="true" outlineLevel="0" collapsed="false">
      <c r="A10" s="28" t="s">
        <v>72</v>
      </c>
      <c r="C10" s="28"/>
    </row>
    <row r="11" customFormat="false" ht="21.75" hidden="false" customHeight="true" outlineLevel="0" collapsed="false">
      <c r="A11" s="35" t="s">
        <v>73</v>
      </c>
      <c r="C11" s="35"/>
    </row>
    <row r="12" customFormat="false" ht="21.75" hidden="false" customHeight="true" outlineLevel="0" collapsed="false">
      <c r="A12" s="28" t="s">
        <v>74</v>
      </c>
      <c r="C12" s="28"/>
    </row>
    <row r="13" customFormat="false" ht="21.75" hidden="false" customHeight="true" outlineLevel="0" collapsed="false">
      <c r="A13" s="35" t="s">
        <v>75</v>
      </c>
      <c r="C13" s="35"/>
    </row>
    <row r="14" customFormat="false" ht="21.75" hidden="false" customHeight="true" outlineLevel="0" collapsed="false">
      <c r="A14" s="28" t="s">
        <v>76</v>
      </c>
      <c r="C14" s="28"/>
    </row>
    <row r="15" customFormat="false" ht="21.75" hidden="false" customHeight="true" outlineLevel="0" collapsed="false">
      <c r="A15" s="35" t="s">
        <v>77</v>
      </c>
      <c r="C15" s="35"/>
    </row>
    <row r="16" customFormat="false" ht="21.75" hidden="false" customHeight="true" outlineLevel="0" collapsed="false">
      <c r="A16" s="28" t="s">
        <v>78</v>
      </c>
      <c r="C16" s="28"/>
    </row>
    <row r="17" customFormat="false" ht="21.75" hidden="false" customHeight="true" outlineLevel="0" collapsed="false">
      <c r="A17" s="35" t="s">
        <v>79</v>
      </c>
      <c r="C17" s="35"/>
    </row>
    <row r="18" customFormat="false" ht="21.75" hidden="false" customHeight="true" outlineLevel="0" collapsed="false">
      <c r="A18" s="28" t="s">
        <v>80</v>
      </c>
      <c r="C18" s="28"/>
    </row>
    <row r="19" customFormat="false" ht="21.75" hidden="false" customHeight="true" outlineLevel="0" collapsed="false">
      <c r="A19" s="35" t="s">
        <v>81</v>
      </c>
      <c r="C19" s="35"/>
    </row>
    <row r="20" customFormat="false" ht="21.75" hidden="false" customHeight="true" outlineLevel="0" collapsed="false">
      <c r="A20" s="28" t="s">
        <v>82</v>
      </c>
      <c r="C20" s="28"/>
    </row>
    <row r="21" customFormat="false" ht="21.75" hidden="false" customHeight="true" outlineLevel="0" collapsed="false">
      <c r="A21" s="35" t="s">
        <v>83</v>
      </c>
      <c r="C21" s="35"/>
    </row>
    <row r="22" customFormat="false" ht="21.75" hidden="false" customHeight="true" outlineLevel="0" collapsed="false">
      <c r="A22" s="28" t="s">
        <v>84</v>
      </c>
      <c r="C22" s="28"/>
    </row>
    <row r="23" customFormat="false" ht="21.75" hidden="false" customHeight="true" outlineLevel="0" collapsed="false">
      <c r="A23" s="35" t="s">
        <v>85</v>
      </c>
      <c r="C23" s="35"/>
    </row>
    <row r="24" customFormat="false" ht="21.75" hidden="false" customHeight="true" outlineLevel="0" collapsed="false">
      <c r="A24" s="28" t="s">
        <v>86</v>
      </c>
      <c r="C24" s="28"/>
    </row>
    <row r="25" customFormat="false" ht="21.75" hidden="false" customHeight="true" outlineLevel="0" collapsed="false">
      <c r="A25" s="35" t="s">
        <v>87</v>
      </c>
      <c r="C25" s="35"/>
    </row>
    <row r="26" customFormat="false" ht="21.75" hidden="false" customHeight="true" outlineLevel="0" collapsed="false">
      <c r="A26" s="28" t="s">
        <v>88</v>
      </c>
      <c r="C26" s="28"/>
    </row>
    <row r="27" customFormat="false" ht="21.75" hidden="false" customHeight="true" outlineLevel="0" collapsed="false">
      <c r="A27" s="35" t="s">
        <v>89</v>
      </c>
      <c r="C27" s="35"/>
    </row>
    <row r="28" customFormat="false" ht="21.75" hidden="false" customHeight="true" outlineLevel="0" collapsed="false">
      <c r="A28" s="28" t="s">
        <v>90</v>
      </c>
      <c r="C28" s="28"/>
    </row>
    <row r="29" customFormat="false" ht="21.75" hidden="false" customHeight="true" outlineLevel="0" collapsed="false">
      <c r="A29" s="35" t="s">
        <v>91</v>
      </c>
      <c r="C29" s="35"/>
    </row>
    <row r="30" customFormat="false" ht="21.75" hidden="false" customHeight="true" outlineLevel="0" collapsed="false">
      <c r="C30" s="28"/>
    </row>
    <row r="31" customFormat="false" ht="21.75" hidden="false" customHeight="true" outlineLevel="0" collapsed="false">
      <c r="C31" s="72" t="s">
        <v>130</v>
      </c>
    </row>
    <row r="32" customFormat="false" ht="21.75" hidden="false" customHeight="true" outlineLevel="0" collapsed="false">
      <c r="C32" s="28"/>
    </row>
    <row r="33" customFormat="false" ht="21.75" hidden="false" customHeight="true" outlineLevel="0" collapsed="false">
      <c r="C33" s="35"/>
    </row>
    <row r="34" customFormat="false" ht="21.75" hidden="false" customHeight="true" outlineLevel="0" collapsed="false">
      <c r="C34" s="28"/>
    </row>
    <row r="35" customFormat="false" ht="21.75" hidden="false" customHeight="true" outlineLevel="0" collapsed="false">
      <c r="C35" s="35"/>
    </row>
    <row r="36" customFormat="false" ht="21.75" hidden="false" customHeight="true" outlineLevel="0" collapsed="false">
      <c r="C36" s="28"/>
    </row>
    <row r="37" customFormat="false" ht="21.75" hidden="false" customHeight="true" outlineLevel="0" collapsed="false">
      <c r="C37" s="35"/>
    </row>
    <row r="38" customFormat="false" ht="21.75" hidden="false" customHeight="true" outlineLevel="0" collapsed="false">
      <c r="C38" s="28"/>
    </row>
    <row r="39" customFormat="false" ht="21.75" hidden="false" customHeight="true" outlineLevel="0" collapsed="false">
      <c r="C39" s="35"/>
    </row>
    <row r="40" customFormat="false" ht="21.75" hidden="false" customHeight="true" outlineLevel="0" collapsed="false">
      <c r="C40" s="28"/>
    </row>
    <row r="41" customFormat="false" ht="21.75" hidden="false" customHeight="true" outlineLevel="0" collapsed="false">
      <c r="C41" s="35"/>
    </row>
    <row r="42" customFormat="false" ht="21.75" hidden="false" customHeight="true" outlineLevel="0" collapsed="false">
      <c r="C42" s="28"/>
    </row>
    <row r="43" customFormat="false" ht="21.75" hidden="false" customHeight="true" outlineLevel="0" collapsed="false">
      <c r="C43" s="35"/>
    </row>
    <row r="44" customFormat="false" ht="21.75" hidden="false" customHeight="true" outlineLevel="0" collapsed="false">
      <c r="C44" s="28"/>
    </row>
    <row r="45" customFormat="false" ht="21.75" hidden="false" customHeight="true" outlineLevel="0" collapsed="false">
      <c r="C45" s="35"/>
    </row>
    <row r="46" customFormat="false" ht="21.75" hidden="false" customHeight="true" outlineLevel="0" collapsed="false">
      <c r="C46" s="28"/>
    </row>
    <row r="47" customFormat="false" ht="21.75" hidden="false" customHeight="true" outlineLevel="0" collapsed="false">
      <c r="C47" s="35"/>
    </row>
    <row r="48" customFormat="false" ht="21.75" hidden="false" customHeight="true" outlineLevel="0" collapsed="false">
      <c r="C48" s="28"/>
    </row>
    <row r="49" customFormat="false" ht="21.75" hidden="false" customHeight="true" outlineLevel="0" collapsed="false">
      <c r="C49" s="35"/>
    </row>
    <row r="50" customFormat="false" ht="21.75" hidden="false" customHeight="true" outlineLevel="0" collapsed="false">
      <c r="C50" s="28"/>
    </row>
    <row r="51" customFormat="false" ht="21.75" hidden="false" customHeight="true" outlineLevel="0" collapsed="false">
      <c r="C51" s="35"/>
    </row>
    <row r="52" customFormat="false" ht="21.75" hidden="false" customHeight="true" outlineLevel="0" collapsed="false">
      <c r="C52" s="2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B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</cols>
  <sheetData>
    <row r="1" customFormat="false" ht="39.75" hidden="false" customHeight="true" outlineLevel="0" collapsed="false">
      <c r="A1" s="73" t="s">
        <v>131</v>
      </c>
      <c r="B1" s="73"/>
    </row>
    <row r="3" customFormat="false" ht="25.5" hidden="false" customHeight="true" outlineLevel="0" collapsed="false">
      <c r="A3" s="74" t="s">
        <v>132</v>
      </c>
      <c r="B3" s="75" t="s">
        <v>133</v>
      </c>
    </row>
    <row r="4" customFormat="false" ht="25.5" hidden="false" customHeight="true" outlineLevel="0" collapsed="false">
      <c r="A4" s="74" t="s">
        <v>134</v>
      </c>
      <c r="B4" s="32" t="s">
        <v>135</v>
      </c>
    </row>
    <row r="5" customFormat="false" ht="25.5" hidden="false" customHeight="true" outlineLevel="0" collapsed="false">
      <c r="A5" s="74" t="s">
        <v>136</v>
      </c>
      <c r="B5" s="75" t="s">
        <v>137</v>
      </c>
    </row>
    <row r="6" customFormat="false" ht="25.5" hidden="false" customHeight="true" outlineLevel="0" collapsed="false">
      <c r="A6" s="74" t="s">
        <v>138</v>
      </c>
      <c r="B6" s="32" t="s">
        <v>139</v>
      </c>
    </row>
    <row r="7" customFormat="false" ht="25.5" hidden="false" customHeight="true" outlineLevel="0" collapsed="false">
      <c r="A7" s="74" t="s">
        <v>140</v>
      </c>
      <c r="B7" s="75" t="s">
        <v>141</v>
      </c>
    </row>
    <row r="8" customFormat="false" ht="25.5" hidden="false" customHeight="true" outlineLevel="0" collapsed="false">
      <c r="A8" s="74" t="s">
        <v>142</v>
      </c>
      <c r="B8" s="32" t="s">
        <v>143</v>
      </c>
    </row>
    <row r="9" customFormat="false" ht="25.5" hidden="false" customHeight="true" outlineLevel="0" collapsed="false">
      <c r="A9" s="74" t="s">
        <v>144</v>
      </c>
      <c r="B9" s="75" t="s">
        <v>145</v>
      </c>
    </row>
    <row r="10" customFormat="false" ht="25.5" hidden="false" customHeight="true" outlineLevel="0" collapsed="false">
      <c r="A10" s="74" t="s">
        <v>146</v>
      </c>
      <c r="B10" s="32" t="s">
        <v>147</v>
      </c>
    </row>
    <row r="12" customFormat="false" ht="7.5" hidden="false" customHeight="true" outlineLevel="0" collapsed="false"/>
    <row r="13" customFormat="false" ht="24.75" hidden="false" customHeight="true" outlineLevel="0" collapsed="false">
      <c r="A13" s="76" t="s">
        <v>148</v>
      </c>
      <c r="B13" s="76"/>
    </row>
    <row r="14" customFormat="false" ht="13.5" hidden="false" customHeight="true" outlineLevel="0" collapsed="false">
      <c r="A14" s="77" t="n">
        <v>1</v>
      </c>
      <c r="B14" s="78" t="s">
        <v>149</v>
      </c>
    </row>
    <row r="15" customFormat="false" ht="13.5" hidden="false" customHeight="true" outlineLevel="0" collapsed="false">
      <c r="A15" s="77" t="n">
        <v>2</v>
      </c>
      <c r="B15" s="78"/>
    </row>
    <row r="16" customFormat="false" ht="13.5" hidden="false" customHeight="true" outlineLevel="0" collapsed="false">
      <c r="A16" s="77" t="n">
        <v>3</v>
      </c>
      <c r="B16" s="78" t="s">
        <v>150</v>
      </c>
    </row>
    <row r="17" customFormat="false" ht="13.5" hidden="false" customHeight="true" outlineLevel="0" collapsed="false">
      <c r="A17" s="77" t="n">
        <v>4</v>
      </c>
      <c r="B17" s="78" t="s">
        <v>151</v>
      </c>
    </row>
    <row r="18" customFormat="false" ht="13.5" hidden="false" customHeight="true" outlineLevel="0" collapsed="false">
      <c r="A18" s="77" t="n">
        <v>5</v>
      </c>
      <c r="B18" s="78" t="s">
        <v>152</v>
      </c>
    </row>
    <row r="19" customFormat="false" ht="13.5" hidden="false" customHeight="true" outlineLevel="0" collapsed="false">
      <c r="A19" s="77" t="n">
        <v>6</v>
      </c>
      <c r="B19" s="78" t="s">
        <v>153</v>
      </c>
    </row>
    <row r="20" customFormat="false" ht="13.5" hidden="false" customHeight="true" outlineLevel="0" collapsed="false">
      <c r="A20" s="77" t="n">
        <v>7</v>
      </c>
      <c r="B20" s="78" t="s">
        <v>154</v>
      </c>
    </row>
    <row r="21" customFormat="false" ht="13.5" hidden="false" customHeight="true" outlineLevel="0" collapsed="false">
      <c r="A21" s="77" t="n">
        <v>8</v>
      </c>
      <c r="B21" s="78" t="s">
        <v>155</v>
      </c>
    </row>
    <row r="22" customFormat="false" ht="13.5" hidden="false" customHeight="true" outlineLevel="0" collapsed="false">
      <c r="A22" s="77" t="n">
        <v>9</v>
      </c>
      <c r="B22" s="78" t="s">
        <v>156</v>
      </c>
    </row>
    <row r="23" customFormat="false" ht="13.5" hidden="false" customHeight="true" outlineLevel="0" collapsed="false">
      <c r="A23" s="77" t="n">
        <v>10</v>
      </c>
      <c r="B23" s="78" t="s">
        <v>157</v>
      </c>
    </row>
    <row r="24" customFormat="false" ht="13.5" hidden="false" customHeight="true" outlineLevel="0" collapsed="false">
      <c r="A24" s="77" t="n">
        <v>11</v>
      </c>
      <c r="B24" s="78" t="s">
        <v>158</v>
      </c>
    </row>
    <row r="25" customFormat="false" ht="13.5" hidden="false" customHeight="true" outlineLevel="0" collapsed="false">
      <c r="A25" s="77" t="n">
        <v>12</v>
      </c>
      <c r="B25" s="78" t="s">
        <v>159</v>
      </c>
    </row>
    <row r="26" customFormat="false" ht="13.5" hidden="false" customHeight="true" outlineLevel="0" collapsed="false">
      <c r="A26" s="77" t="n">
        <v>13</v>
      </c>
      <c r="B26" s="78" t="s">
        <v>160</v>
      </c>
    </row>
    <row r="27" customFormat="false" ht="13.5" hidden="false" customHeight="true" outlineLevel="0" collapsed="false">
      <c r="A27" s="77" t="n">
        <v>14</v>
      </c>
      <c r="B27" s="78" t="s">
        <v>161</v>
      </c>
    </row>
    <row r="28" customFormat="false" ht="13.5" hidden="false" customHeight="true" outlineLevel="0" collapsed="false">
      <c r="A28" s="77" t="n">
        <v>15</v>
      </c>
      <c r="B28" s="78" t="s">
        <v>162</v>
      </c>
    </row>
    <row r="29" customFormat="false" ht="13.5" hidden="false" customHeight="true" outlineLevel="0" collapsed="false">
      <c r="A29" s="77" t="n">
        <v>16</v>
      </c>
      <c r="B29" s="78" t="s">
        <v>150</v>
      </c>
    </row>
    <row r="30" customFormat="false" ht="13.5" hidden="false" customHeight="true" outlineLevel="0" collapsed="false">
      <c r="A30" s="77" t="n">
        <v>17</v>
      </c>
      <c r="B30" s="78"/>
    </row>
    <row r="31" customFormat="false" ht="13.5" hidden="false" customHeight="true" outlineLevel="0" collapsed="false">
      <c r="A31" s="77" t="n">
        <v>18</v>
      </c>
      <c r="B31" s="78" t="s">
        <v>163</v>
      </c>
    </row>
    <row r="32" customFormat="false" ht="13.5" hidden="false" customHeight="true" outlineLevel="0" collapsed="false">
      <c r="A32" s="77" t="n">
        <v>19</v>
      </c>
      <c r="B32" s="78"/>
    </row>
    <row r="33" customFormat="false" ht="13.5" hidden="false" customHeight="true" outlineLevel="0" collapsed="false">
      <c r="A33" s="77" t="n">
        <v>20</v>
      </c>
      <c r="B33" s="78" t="s">
        <v>164</v>
      </c>
    </row>
    <row r="34" customFormat="false" ht="13.5" hidden="false" customHeight="true" outlineLevel="0" collapsed="false">
      <c r="A34" s="77" t="n">
        <v>21</v>
      </c>
      <c r="B34" s="78" t="s">
        <v>165</v>
      </c>
    </row>
    <row r="35" customFormat="false" ht="13.5" hidden="false" customHeight="true" outlineLevel="0" collapsed="false">
      <c r="A35" s="77" t="n">
        <v>22</v>
      </c>
      <c r="B35" s="78" t="s">
        <v>166</v>
      </c>
    </row>
    <row r="36" customFormat="false" ht="13.5" hidden="false" customHeight="true" outlineLevel="0" collapsed="false">
      <c r="A36" s="77" t="n">
        <v>23</v>
      </c>
      <c r="B36" s="78" t="s">
        <v>167</v>
      </c>
    </row>
    <row r="37" customFormat="false" ht="13.5" hidden="false" customHeight="true" outlineLevel="0" collapsed="false">
      <c r="A37" s="77" t="n">
        <v>24</v>
      </c>
      <c r="B37" s="78" t="s">
        <v>168</v>
      </c>
    </row>
    <row r="38" customFormat="false" ht="13.5" hidden="false" customHeight="true" outlineLevel="0" collapsed="false">
      <c r="A38" s="77" t="n">
        <v>25</v>
      </c>
      <c r="B38" s="78" t="s">
        <v>169</v>
      </c>
    </row>
    <row r="39" customFormat="false" ht="13.5" hidden="false" customHeight="true" outlineLevel="0" collapsed="false">
      <c r="A39" s="77" t="n">
        <v>26</v>
      </c>
      <c r="B39" s="78" t="s">
        <v>170</v>
      </c>
    </row>
    <row r="40" customFormat="false" ht="13.5" hidden="false" customHeight="true" outlineLevel="0" collapsed="false">
      <c r="A40" s="77" t="n">
        <v>27</v>
      </c>
      <c r="B40" s="78" t="s">
        <v>171</v>
      </c>
    </row>
    <row r="41" customFormat="false" ht="13.5" hidden="false" customHeight="true" outlineLevel="0" collapsed="false">
      <c r="A41" s="77" t="n">
        <v>28</v>
      </c>
      <c r="B41" s="78" t="s">
        <v>172</v>
      </c>
    </row>
    <row r="42" customFormat="false" ht="13.5" hidden="false" customHeight="true" outlineLevel="0" collapsed="false">
      <c r="A42" s="77" t="n">
        <v>29</v>
      </c>
      <c r="B42" s="78" t="s">
        <v>173</v>
      </c>
    </row>
    <row r="43" customFormat="false" ht="13.5" hidden="false" customHeight="true" outlineLevel="0" collapsed="false">
      <c r="A43" s="77" t="n">
        <v>30</v>
      </c>
      <c r="B43" s="78"/>
    </row>
    <row r="44" customFormat="false" ht="13.5" hidden="false" customHeight="true" outlineLevel="0" collapsed="false">
      <c r="A44" s="77" t="n">
        <v>31</v>
      </c>
      <c r="B44" s="78" t="s">
        <v>174</v>
      </c>
    </row>
    <row r="45" customFormat="false" ht="13.5" hidden="false" customHeight="true" outlineLevel="0" collapsed="false">
      <c r="A45" s="77" t="n">
        <v>32</v>
      </c>
      <c r="B45" s="78" t="s">
        <v>175</v>
      </c>
    </row>
    <row r="46" customFormat="false" ht="13.5" hidden="false" customHeight="true" outlineLevel="0" collapsed="false">
      <c r="A46" s="77" t="n">
        <v>33</v>
      </c>
      <c r="B46" s="78"/>
    </row>
    <row r="47" customFormat="false" ht="13.5" hidden="false" customHeight="true" outlineLevel="0" collapsed="false">
      <c r="A47" s="77" t="n">
        <v>34</v>
      </c>
      <c r="B47" s="78" t="s">
        <v>176</v>
      </c>
    </row>
    <row r="48" customFormat="false" ht="13.5" hidden="false" customHeight="true" outlineLevel="0" collapsed="false">
      <c r="A48" s="77" t="n">
        <v>35</v>
      </c>
      <c r="B48" s="78"/>
    </row>
    <row r="49" customFormat="false" ht="13.5" hidden="false" customHeight="true" outlineLevel="0" collapsed="false">
      <c r="A49" s="77" t="n">
        <v>36</v>
      </c>
      <c r="B49" s="78" t="s">
        <v>177</v>
      </c>
    </row>
    <row r="50" customFormat="false" ht="13.5" hidden="false" customHeight="true" outlineLevel="0" collapsed="false">
      <c r="A50" s="77" t="n">
        <v>37</v>
      </c>
      <c r="B50" s="78" t="s">
        <v>178</v>
      </c>
    </row>
    <row r="51" customFormat="false" ht="13.5" hidden="false" customHeight="true" outlineLevel="0" collapsed="false">
      <c r="A51" s="77" t="n">
        <v>38</v>
      </c>
      <c r="B51" s="78" t="s">
        <v>179</v>
      </c>
    </row>
    <row r="52" customFormat="false" ht="13.5" hidden="false" customHeight="true" outlineLevel="0" collapsed="false">
      <c r="A52" s="77" t="n">
        <v>39</v>
      </c>
      <c r="B52" s="78" t="s">
        <v>180</v>
      </c>
    </row>
    <row r="53" customFormat="false" ht="13.5" hidden="false" customHeight="true" outlineLevel="0" collapsed="false">
      <c r="A53" s="77" t="n">
        <v>40</v>
      </c>
      <c r="B53" s="78" t="s">
        <v>181</v>
      </c>
    </row>
    <row r="54" customFormat="false" ht="13.5" hidden="false" customHeight="true" outlineLevel="0" collapsed="false">
      <c r="A54" s="77" t="n">
        <v>41</v>
      </c>
      <c r="B54" s="78"/>
    </row>
    <row r="55" customFormat="false" ht="13.5" hidden="false" customHeight="true" outlineLevel="0" collapsed="false">
      <c r="A55" s="77" t="n">
        <v>42</v>
      </c>
      <c r="B55" s="78" t="s">
        <v>182</v>
      </c>
    </row>
    <row r="56" customFormat="false" ht="13.5" hidden="false" customHeight="true" outlineLevel="0" collapsed="false">
      <c r="A56" s="77" t="n">
        <v>43</v>
      </c>
      <c r="B56" s="78" t="s">
        <v>183</v>
      </c>
    </row>
    <row r="57" customFormat="false" ht="13.5" hidden="false" customHeight="true" outlineLevel="0" collapsed="false">
      <c r="A57" s="77" t="n">
        <v>44</v>
      </c>
      <c r="B57" s="78"/>
    </row>
    <row r="58" customFormat="false" ht="13.5" hidden="false" customHeight="true" outlineLevel="0" collapsed="false">
      <c r="A58" s="77" t="n">
        <v>45</v>
      </c>
      <c r="B58" s="78" t="s">
        <v>184</v>
      </c>
    </row>
    <row r="59" customFormat="false" ht="13.5" hidden="false" customHeight="true" outlineLevel="0" collapsed="false">
      <c r="A59" s="77" t="n">
        <v>46</v>
      </c>
      <c r="B59" s="78" t="s">
        <v>185</v>
      </c>
    </row>
    <row r="60" customFormat="false" ht="13.5" hidden="false" customHeight="true" outlineLevel="0" collapsed="false">
      <c r="A60" s="77" t="n">
        <v>47</v>
      </c>
      <c r="B60" s="78" t="s">
        <v>186</v>
      </c>
    </row>
    <row r="61" customFormat="false" ht="13.5" hidden="false" customHeight="true" outlineLevel="0" collapsed="false">
      <c r="A61" s="77" t="n">
        <v>48</v>
      </c>
      <c r="B61" s="78" t="s">
        <v>187</v>
      </c>
    </row>
    <row r="62" customFormat="false" ht="13.5" hidden="false" customHeight="true" outlineLevel="0" collapsed="false">
      <c r="A62" s="77" t="n">
        <v>49</v>
      </c>
      <c r="B62" s="78" t="s">
        <v>188</v>
      </c>
    </row>
    <row r="63" customFormat="false" ht="13.5" hidden="false" customHeight="true" outlineLevel="0" collapsed="false">
      <c r="A63" s="77" t="n">
        <v>50</v>
      </c>
      <c r="B63" s="78" t="s">
        <v>189</v>
      </c>
    </row>
    <row r="64" customFormat="false" ht="13.5" hidden="false" customHeight="true" outlineLevel="0" collapsed="false">
      <c r="A64" s="77" t="n">
        <v>51</v>
      </c>
      <c r="B64" s="78"/>
    </row>
    <row r="65" customFormat="false" ht="13.5" hidden="false" customHeight="true" outlineLevel="0" collapsed="false">
      <c r="A65" s="77" t="n">
        <v>52</v>
      </c>
      <c r="B65" s="78" t="s">
        <v>190</v>
      </c>
    </row>
    <row r="66" customFormat="false" ht="13.5" hidden="false" customHeight="true" outlineLevel="0" collapsed="false">
      <c r="A66" s="77" t="n">
        <v>53</v>
      </c>
      <c r="B66" s="78" t="s">
        <v>191</v>
      </c>
    </row>
    <row r="67" customFormat="false" ht="13.5" hidden="false" customHeight="true" outlineLevel="0" collapsed="false">
      <c r="A67" s="77" t="n">
        <v>54</v>
      </c>
      <c r="B67" s="78" t="s">
        <v>192</v>
      </c>
    </row>
    <row r="68" customFormat="false" ht="13.5" hidden="false" customHeight="true" outlineLevel="0" collapsed="false">
      <c r="A68" s="77" t="n">
        <v>55</v>
      </c>
      <c r="B68" s="78" t="s">
        <v>193</v>
      </c>
    </row>
    <row r="69" customFormat="false" ht="13.5" hidden="false" customHeight="true" outlineLevel="0" collapsed="false">
      <c r="A69" s="77" t="n">
        <v>56</v>
      </c>
      <c r="B69" s="78" t="s">
        <v>188</v>
      </c>
    </row>
    <row r="70" customFormat="false" ht="13.5" hidden="false" customHeight="true" outlineLevel="0" collapsed="false">
      <c r="A70" s="77" t="n">
        <v>57</v>
      </c>
      <c r="B70" s="78" t="s">
        <v>189</v>
      </c>
    </row>
    <row r="71" customFormat="false" ht="13.5" hidden="false" customHeight="true" outlineLevel="0" collapsed="false">
      <c r="A71" s="77" t="n">
        <v>58</v>
      </c>
      <c r="B71" s="78"/>
    </row>
    <row r="72" customFormat="false" ht="13.5" hidden="false" customHeight="true" outlineLevel="0" collapsed="false">
      <c r="A72" s="77" t="n">
        <v>59</v>
      </c>
      <c r="B72" s="78" t="s">
        <v>194</v>
      </c>
    </row>
    <row r="73" customFormat="false" ht="13.5" hidden="false" customHeight="true" outlineLevel="0" collapsed="false">
      <c r="A73" s="77" t="n">
        <v>60</v>
      </c>
      <c r="B73" s="78" t="s">
        <v>195</v>
      </c>
    </row>
    <row r="74" customFormat="false" ht="13.5" hidden="false" customHeight="true" outlineLevel="0" collapsed="false">
      <c r="A74" s="77" t="n">
        <v>61</v>
      </c>
      <c r="B74" s="78" t="s">
        <v>196</v>
      </c>
    </row>
    <row r="75" customFormat="false" ht="13.5" hidden="false" customHeight="true" outlineLevel="0" collapsed="false">
      <c r="A75" s="77" t="n">
        <v>62</v>
      </c>
      <c r="B75" s="78"/>
    </row>
    <row r="76" customFormat="false" ht="13.5" hidden="false" customHeight="true" outlineLevel="0" collapsed="false">
      <c r="A76" s="77" t="n">
        <v>63</v>
      </c>
      <c r="B76" s="78" t="s">
        <v>197</v>
      </c>
    </row>
    <row r="77" customFormat="false" ht="13.5" hidden="false" customHeight="true" outlineLevel="0" collapsed="false">
      <c r="A77" s="77" t="n">
        <v>64</v>
      </c>
      <c r="B77" s="78" t="s">
        <v>198</v>
      </c>
    </row>
    <row r="78" customFormat="false" ht="13.5" hidden="false" customHeight="true" outlineLevel="0" collapsed="false">
      <c r="A78" s="77" t="n">
        <v>65</v>
      </c>
      <c r="B78" s="78" t="s">
        <v>199</v>
      </c>
    </row>
    <row r="79" customFormat="false" ht="13.5" hidden="false" customHeight="true" outlineLevel="0" collapsed="false">
      <c r="A79" s="77" t="n">
        <v>66</v>
      </c>
      <c r="B79" s="78" t="s">
        <v>200</v>
      </c>
    </row>
    <row r="80" customFormat="false" ht="13.5" hidden="false" customHeight="true" outlineLevel="0" collapsed="false">
      <c r="A80" s="77" t="n">
        <v>67</v>
      </c>
      <c r="B80" s="78"/>
    </row>
    <row r="81" customFormat="false" ht="13.5" hidden="false" customHeight="true" outlineLevel="0" collapsed="false">
      <c r="A81" s="77" t="n">
        <v>68</v>
      </c>
      <c r="B81" s="78" t="s">
        <v>201</v>
      </c>
    </row>
    <row r="82" customFormat="false" ht="13.5" hidden="false" customHeight="true" outlineLevel="0" collapsed="false">
      <c r="A82" s="77" t="n">
        <v>69</v>
      </c>
      <c r="B82" s="78" t="s">
        <v>202</v>
      </c>
    </row>
    <row r="83" customFormat="false" ht="13.5" hidden="false" customHeight="true" outlineLevel="0" collapsed="false">
      <c r="A83" s="77" t="n">
        <v>70</v>
      </c>
      <c r="B83" s="78" t="s">
        <v>203</v>
      </c>
    </row>
    <row r="84" customFormat="false" ht="13.5" hidden="false" customHeight="true" outlineLevel="0" collapsed="false">
      <c r="A84" s="77" t="n">
        <v>71</v>
      </c>
      <c r="B84" s="78" t="s">
        <v>204</v>
      </c>
    </row>
    <row r="85" customFormat="false" ht="13.5" hidden="false" customHeight="true" outlineLevel="0" collapsed="false">
      <c r="A85" s="77" t="n">
        <v>72</v>
      </c>
      <c r="B85" s="78"/>
    </row>
    <row r="86" customFormat="false" ht="13.5" hidden="false" customHeight="true" outlineLevel="0" collapsed="false">
      <c r="A86" s="77" t="n">
        <v>73</v>
      </c>
      <c r="B86" s="78" t="s">
        <v>205</v>
      </c>
    </row>
    <row r="87" customFormat="false" ht="13.5" hidden="false" customHeight="true" outlineLevel="0" collapsed="false">
      <c r="A87" s="77" t="n">
        <v>74</v>
      </c>
      <c r="B87" s="78" t="s">
        <v>206</v>
      </c>
    </row>
    <row r="88" customFormat="false" ht="13.5" hidden="false" customHeight="true" outlineLevel="0" collapsed="false">
      <c r="A88" s="77" t="n">
        <v>75</v>
      </c>
      <c r="B88" s="78"/>
    </row>
    <row r="89" customFormat="false" ht="13.5" hidden="false" customHeight="true" outlineLevel="0" collapsed="false">
      <c r="A89" s="77" t="n">
        <v>76</v>
      </c>
      <c r="B89" s="78" t="s">
        <v>207</v>
      </c>
    </row>
    <row r="90" customFormat="false" ht="13.5" hidden="false" customHeight="true" outlineLevel="0" collapsed="false">
      <c r="A90" s="77" t="n">
        <v>77</v>
      </c>
      <c r="B90" s="78" t="s">
        <v>208</v>
      </c>
    </row>
    <row r="91" customFormat="false" ht="13.5" hidden="false" customHeight="true" outlineLevel="0" collapsed="false">
      <c r="A91" s="77" t="n">
        <v>78</v>
      </c>
      <c r="B91" s="78" t="s">
        <v>209</v>
      </c>
    </row>
    <row r="92" customFormat="false" ht="13.5" hidden="false" customHeight="true" outlineLevel="0" collapsed="false">
      <c r="A92" s="77" t="n">
        <v>79</v>
      </c>
      <c r="B92" s="78" t="s">
        <v>210</v>
      </c>
    </row>
    <row r="93" customFormat="false" ht="13.5" hidden="false" customHeight="true" outlineLevel="0" collapsed="false">
      <c r="A93" s="77" t="n">
        <v>80</v>
      </c>
      <c r="B93" s="78" t="s">
        <v>211</v>
      </c>
    </row>
    <row r="94" customFormat="false" ht="13.5" hidden="false" customHeight="true" outlineLevel="0" collapsed="false">
      <c r="A94" s="77" t="n">
        <v>81</v>
      </c>
      <c r="B94" s="78" t="s">
        <v>212</v>
      </c>
    </row>
    <row r="95" customFormat="false" ht="13.5" hidden="false" customHeight="true" outlineLevel="0" collapsed="false">
      <c r="A95" s="77" t="n">
        <v>82</v>
      </c>
      <c r="B95" s="78" t="s">
        <v>213</v>
      </c>
    </row>
    <row r="96" customFormat="false" ht="13.5" hidden="false" customHeight="true" outlineLevel="0" collapsed="false">
      <c r="A96" s="77" t="n">
        <v>83</v>
      </c>
      <c r="B96" s="78" t="s">
        <v>214</v>
      </c>
    </row>
    <row r="97" customFormat="false" ht="13.5" hidden="false" customHeight="true" outlineLevel="0" collapsed="false">
      <c r="A97" s="77" t="n">
        <v>84</v>
      </c>
      <c r="B97" s="78" t="s">
        <v>215</v>
      </c>
    </row>
    <row r="98" customFormat="false" ht="13.5" hidden="false" customHeight="true" outlineLevel="0" collapsed="false">
      <c r="A98" s="77" t="n">
        <v>85</v>
      </c>
      <c r="B98" s="78" t="s">
        <v>216</v>
      </c>
    </row>
    <row r="99" customFormat="false" ht="13.5" hidden="false" customHeight="true" outlineLevel="0" collapsed="false">
      <c r="A99" s="77" t="n">
        <v>86</v>
      </c>
      <c r="B99" s="78" t="s">
        <v>217</v>
      </c>
    </row>
    <row r="100" customFormat="false" ht="13.5" hidden="false" customHeight="true" outlineLevel="0" collapsed="false">
      <c r="A100" s="77" t="n">
        <v>87</v>
      </c>
      <c r="B100" s="78" t="s">
        <v>218</v>
      </c>
    </row>
    <row r="101" customFormat="false" ht="13.5" hidden="false" customHeight="true" outlineLevel="0" collapsed="false">
      <c r="A101" s="77" t="n">
        <v>88</v>
      </c>
      <c r="B101" s="78" t="s">
        <v>219</v>
      </c>
    </row>
    <row r="102" customFormat="false" ht="13.5" hidden="false" customHeight="true" outlineLevel="0" collapsed="false">
      <c r="A102" s="77" t="n">
        <v>89</v>
      </c>
      <c r="B102" s="78" t="s">
        <v>220</v>
      </c>
    </row>
    <row r="103" customFormat="false" ht="13.5" hidden="false" customHeight="true" outlineLevel="0" collapsed="false">
      <c r="A103" s="77" t="n">
        <v>90</v>
      </c>
      <c r="B103" s="78" t="s">
        <v>221</v>
      </c>
    </row>
    <row r="104" customFormat="false" ht="13.5" hidden="false" customHeight="true" outlineLevel="0" collapsed="false">
      <c r="A104" s="77" t="n">
        <v>91</v>
      </c>
      <c r="B104" s="78" t="s">
        <v>222</v>
      </c>
    </row>
    <row r="105" customFormat="false" ht="13.5" hidden="false" customHeight="true" outlineLevel="0" collapsed="false">
      <c r="A105" s="77" t="n">
        <v>92</v>
      </c>
      <c r="B105" s="78" t="s">
        <v>223</v>
      </c>
    </row>
    <row r="106" customFormat="false" ht="13.5" hidden="false" customHeight="true" outlineLevel="0" collapsed="false">
      <c r="A106" s="77" t="n">
        <v>93</v>
      </c>
      <c r="B106" s="78" t="s">
        <v>224</v>
      </c>
    </row>
    <row r="107" customFormat="false" ht="13.5" hidden="false" customHeight="true" outlineLevel="0" collapsed="false">
      <c r="A107" s="77" t="n">
        <v>94</v>
      </c>
      <c r="B107" s="78" t="s">
        <v>225</v>
      </c>
    </row>
    <row r="108" customFormat="false" ht="13.5" hidden="false" customHeight="true" outlineLevel="0" collapsed="false">
      <c r="A108" s="77" t="n">
        <v>95</v>
      </c>
      <c r="B108" s="78"/>
    </row>
    <row r="109" customFormat="false" ht="13.5" hidden="false" customHeight="true" outlineLevel="0" collapsed="false">
      <c r="A109" s="77" t="n">
        <v>96</v>
      </c>
      <c r="B109" s="78" t="s">
        <v>226</v>
      </c>
    </row>
    <row r="110" customFormat="false" ht="13.5" hidden="false" customHeight="true" outlineLevel="0" collapsed="false">
      <c r="A110" s="77" t="n">
        <v>97</v>
      </c>
      <c r="B110" s="78" t="s">
        <v>227</v>
      </c>
    </row>
    <row r="111" customFormat="false" ht="13.5" hidden="false" customHeight="true" outlineLevel="0" collapsed="false">
      <c r="A111" s="77" t="n">
        <v>98</v>
      </c>
      <c r="B111" s="78"/>
    </row>
    <row r="112" customFormat="false" ht="13.5" hidden="false" customHeight="true" outlineLevel="0" collapsed="false">
      <c r="A112" s="77" t="n">
        <v>99</v>
      </c>
      <c r="B112" s="78" t="s">
        <v>228</v>
      </c>
    </row>
    <row r="113" customFormat="false" ht="13.5" hidden="false" customHeight="true" outlineLevel="0" collapsed="false">
      <c r="A113" s="77" t="n">
        <v>100</v>
      </c>
      <c r="B113" s="78" t="s">
        <v>229</v>
      </c>
    </row>
    <row r="114" customFormat="false" ht="13.5" hidden="false" customHeight="true" outlineLevel="0" collapsed="false">
      <c r="A114" s="77" t="n">
        <v>101</v>
      </c>
      <c r="B114" s="78" t="s">
        <v>230</v>
      </c>
    </row>
    <row r="115" customFormat="false" ht="13.5" hidden="false" customHeight="true" outlineLevel="0" collapsed="false">
      <c r="A115" s="77" t="n">
        <v>102</v>
      </c>
      <c r="B115" s="78" t="s">
        <v>231</v>
      </c>
    </row>
    <row r="116" customFormat="false" ht="13.5" hidden="false" customHeight="true" outlineLevel="0" collapsed="false">
      <c r="A116" s="77" t="n">
        <v>103</v>
      </c>
      <c r="B116" s="78" t="s">
        <v>232</v>
      </c>
    </row>
    <row r="117" customFormat="false" ht="13.5" hidden="false" customHeight="true" outlineLevel="0" collapsed="false">
      <c r="A117" s="77" t="n">
        <v>104</v>
      </c>
      <c r="B117" s="78" t="s">
        <v>233</v>
      </c>
    </row>
    <row r="118" customFormat="false" ht="13.5" hidden="false" customHeight="true" outlineLevel="0" collapsed="false">
      <c r="A118" s="77" t="n">
        <v>105</v>
      </c>
      <c r="B118" s="78" t="s">
        <v>234</v>
      </c>
    </row>
    <row r="119" customFormat="false" ht="13.5" hidden="false" customHeight="true" outlineLevel="0" collapsed="false">
      <c r="A119" s="77" t="n">
        <v>106</v>
      </c>
      <c r="B119" s="78" t="s">
        <v>235</v>
      </c>
    </row>
    <row r="120" customFormat="false" ht="13.5" hidden="false" customHeight="true" outlineLevel="0" collapsed="false">
      <c r="A120" s="77" t="n">
        <v>107</v>
      </c>
      <c r="B120" s="78" t="s">
        <v>236</v>
      </c>
    </row>
    <row r="121" customFormat="false" ht="13.5" hidden="false" customHeight="true" outlineLevel="0" collapsed="false">
      <c r="A121" s="77" t="n">
        <v>108</v>
      </c>
      <c r="B121" s="78" t="s">
        <v>237</v>
      </c>
    </row>
    <row r="122" customFormat="false" ht="13.5" hidden="false" customHeight="true" outlineLevel="0" collapsed="false">
      <c r="A122" s="77" t="n">
        <v>109</v>
      </c>
      <c r="B122" s="78" t="s">
        <v>238</v>
      </c>
    </row>
    <row r="123" customFormat="false" ht="13.5" hidden="false" customHeight="true" outlineLevel="0" collapsed="false">
      <c r="A123" s="77" t="n">
        <v>110</v>
      </c>
      <c r="B123" s="78" t="s">
        <v>189</v>
      </c>
    </row>
    <row r="124" customFormat="false" ht="13.5" hidden="false" customHeight="true" outlineLevel="0" collapsed="false">
      <c r="A124" s="77" t="n">
        <v>111</v>
      </c>
      <c r="B124" s="78"/>
    </row>
    <row r="125" customFormat="false" ht="13.5" hidden="false" customHeight="true" outlineLevel="0" collapsed="false">
      <c r="A125" s="77" t="n">
        <v>112</v>
      </c>
      <c r="B125" s="78" t="s">
        <v>239</v>
      </c>
    </row>
    <row r="126" customFormat="false" ht="13.5" hidden="false" customHeight="true" outlineLevel="0" collapsed="false">
      <c r="A126" s="77" t="n">
        <v>113</v>
      </c>
      <c r="B126" s="78" t="s">
        <v>240</v>
      </c>
    </row>
    <row r="127" customFormat="false" ht="13.5" hidden="false" customHeight="true" outlineLevel="0" collapsed="false">
      <c r="A127" s="77" t="n">
        <v>114</v>
      </c>
      <c r="B127" s="78" t="s">
        <v>241</v>
      </c>
    </row>
    <row r="128" customFormat="false" ht="13.5" hidden="false" customHeight="true" outlineLevel="0" collapsed="false">
      <c r="A128" s="77" t="n">
        <v>115</v>
      </c>
      <c r="B128" s="78" t="s">
        <v>242</v>
      </c>
    </row>
    <row r="129" customFormat="false" ht="13.5" hidden="false" customHeight="true" outlineLevel="0" collapsed="false">
      <c r="A129" s="77" t="n">
        <v>116</v>
      </c>
      <c r="B129" s="78" t="s">
        <v>243</v>
      </c>
    </row>
    <row r="130" customFormat="false" ht="13.5" hidden="false" customHeight="true" outlineLevel="0" collapsed="false">
      <c r="A130" s="77" t="n">
        <v>117</v>
      </c>
      <c r="B130" s="78" t="s">
        <v>244</v>
      </c>
    </row>
    <row r="131" customFormat="false" ht="13.5" hidden="false" customHeight="true" outlineLevel="0" collapsed="false">
      <c r="A131" s="77" t="n">
        <v>118</v>
      </c>
      <c r="B131" s="78" t="s">
        <v>245</v>
      </c>
    </row>
    <row r="132" customFormat="false" ht="13.5" hidden="false" customHeight="true" outlineLevel="0" collapsed="false">
      <c r="A132" s="77" t="n">
        <v>119</v>
      </c>
      <c r="B132" s="78" t="s">
        <v>246</v>
      </c>
    </row>
    <row r="133" customFormat="false" ht="13.5" hidden="false" customHeight="true" outlineLevel="0" collapsed="false">
      <c r="A133" s="77" t="n">
        <v>120</v>
      </c>
      <c r="B133" s="78" t="s">
        <v>247</v>
      </c>
    </row>
    <row r="134" customFormat="false" ht="13.5" hidden="false" customHeight="true" outlineLevel="0" collapsed="false">
      <c r="A134" s="77" t="n">
        <v>121</v>
      </c>
      <c r="B134" s="78" t="s">
        <v>248</v>
      </c>
    </row>
    <row r="135" customFormat="false" ht="13.5" hidden="false" customHeight="true" outlineLevel="0" collapsed="false">
      <c r="A135" s="77" t="n">
        <v>122</v>
      </c>
      <c r="B135" s="78"/>
    </row>
    <row r="136" customFormat="false" ht="13.5" hidden="false" customHeight="true" outlineLevel="0" collapsed="false">
      <c r="A136" s="77" t="n">
        <v>123</v>
      </c>
      <c r="B136" s="78" t="s">
        <v>249</v>
      </c>
    </row>
    <row r="137" customFormat="false" ht="13.5" hidden="false" customHeight="true" outlineLevel="0" collapsed="false">
      <c r="A137" s="77" t="n">
        <v>124</v>
      </c>
      <c r="B137" s="78" t="s">
        <v>250</v>
      </c>
    </row>
    <row r="138" customFormat="false" ht="13.5" hidden="false" customHeight="true" outlineLevel="0" collapsed="false">
      <c r="A138" s="77" t="n">
        <v>125</v>
      </c>
      <c r="B138" s="78"/>
    </row>
    <row r="139" customFormat="false" ht="13.5" hidden="false" customHeight="true" outlineLevel="0" collapsed="false">
      <c r="A139" s="77" t="n">
        <v>126</v>
      </c>
      <c r="B139" s="78" t="s">
        <v>251</v>
      </c>
    </row>
    <row r="140" customFormat="false" ht="13.5" hidden="false" customHeight="true" outlineLevel="0" collapsed="false">
      <c r="A140" s="77" t="n">
        <v>127</v>
      </c>
      <c r="B140" s="78" t="s">
        <v>252</v>
      </c>
    </row>
    <row r="141" customFormat="false" ht="13.5" hidden="false" customHeight="true" outlineLevel="0" collapsed="false">
      <c r="A141" s="77" t="n">
        <v>128</v>
      </c>
      <c r="B141" s="78" t="s">
        <v>253</v>
      </c>
    </row>
    <row r="142" customFormat="false" ht="13.5" hidden="false" customHeight="true" outlineLevel="0" collapsed="false">
      <c r="A142" s="77" t="n">
        <v>129</v>
      </c>
      <c r="B142" s="78" t="s">
        <v>254</v>
      </c>
    </row>
    <row r="143" customFormat="false" ht="13.5" hidden="false" customHeight="true" outlineLevel="0" collapsed="false">
      <c r="A143" s="77" t="n">
        <v>130</v>
      </c>
      <c r="B143" s="78"/>
    </row>
    <row r="144" customFormat="false" ht="13.5" hidden="false" customHeight="true" outlineLevel="0" collapsed="false">
      <c r="A144" s="77" t="n">
        <v>131</v>
      </c>
      <c r="B144" s="78" t="s">
        <v>255</v>
      </c>
    </row>
    <row r="145" customFormat="false" ht="13.5" hidden="false" customHeight="true" outlineLevel="0" collapsed="false">
      <c r="A145" s="77" t="n">
        <v>132</v>
      </c>
      <c r="B145" s="78" t="s">
        <v>256</v>
      </c>
    </row>
    <row r="146" customFormat="false" ht="13.5" hidden="false" customHeight="true" outlineLevel="0" collapsed="false">
      <c r="A146" s="77" t="n">
        <v>133</v>
      </c>
      <c r="B146" s="78" t="s">
        <v>257</v>
      </c>
    </row>
    <row r="147" customFormat="false" ht="13.5" hidden="false" customHeight="true" outlineLevel="0" collapsed="false">
      <c r="A147" s="77" t="n">
        <v>134</v>
      </c>
      <c r="B147" s="78" t="s">
        <v>258</v>
      </c>
    </row>
    <row r="148" customFormat="false" ht="13.5" hidden="false" customHeight="true" outlineLevel="0" collapsed="false">
      <c r="A148" s="77" t="n">
        <v>135</v>
      </c>
      <c r="B148" s="78" t="s">
        <v>188</v>
      </c>
    </row>
    <row r="149" customFormat="false" ht="13.5" hidden="false" customHeight="true" outlineLevel="0" collapsed="false">
      <c r="A149" s="77" t="n">
        <v>136</v>
      </c>
      <c r="B149" s="78" t="s">
        <v>189</v>
      </c>
    </row>
    <row r="150" customFormat="false" ht="13.5" hidden="false" customHeight="true" outlineLevel="0" collapsed="false">
      <c r="A150" s="77" t="n">
        <v>137</v>
      </c>
      <c r="B150" s="78"/>
    </row>
    <row r="151" customFormat="false" ht="13.5" hidden="false" customHeight="true" outlineLevel="0" collapsed="false">
      <c r="A151" s="77" t="n">
        <v>138</v>
      </c>
      <c r="B151" s="78" t="s">
        <v>259</v>
      </c>
    </row>
    <row r="152" customFormat="false" ht="13.5" hidden="false" customHeight="true" outlineLevel="0" collapsed="false">
      <c r="A152" s="77" t="n">
        <v>139</v>
      </c>
      <c r="B152" s="78" t="s">
        <v>260</v>
      </c>
    </row>
    <row r="153" customFormat="false" ht="13.5" hidden="false" customHeight="true" outlineLevel="0" collapsed="false">
      <c r="A153" s="77" t="n">
        <v>140</v>
      </c>
      <c r="B153" s="78"/>
    </row>
    <row r="154" customFormat="false" ht="13.5" hidden="false" customHeight="true" outlineLevel="0" collapsed="false">
      <c r="A154" s="77" t="n">
        <v>141</v>
      </c>
      <c r="B154" s="78" t="s">
        <v>261</v>
      </c>
    </row>
    <row r="155" customFormat="false" ht="13.5" hidden="false" customHeight="true" outlineLevel="0" collapsed="false">
      <c r="A155" s="77" t="n">
        <v>142</v>
      </c>
      <c r="B155" s="78"/>
    </row>
    <row r="156" customFormat="false" ht="13.5" hidden="false" customHeight="true" outlineLevel="0" collapsed="false">
      <c r="A156" s="77" t="n">
        <v>143</v>
      </c>
      <c r="B156" s="78" t="s">
        <v>262</v>
      </c>
    </row>
    <row r="157" customFormat="false" ht="13.5" hidden="false" customHeight="true" outlineLevel="0" collapsed="false">
      <c r="A157" s="77" t="n">
        <v>144</v>
      </c>
      <c r="B157" s="78" t="s">
        <v>263</v>
      </c>
    </row>
    <row r="158" customFormat="false" ht="13.5" hidden="false" customHeight="true" outlineLevel="0" collapsed="false">
      <c r="A158" s="77" t="n">
        <v>145</v>
      </c>
      <c r="B158" s="78" t="s">
        <v>264</v>
      </c>
    </row>
    <row r="159" customFormat="false" ht="13.5" hidden="false" customHeight="true" outlineLevel="0" collapsed="false">
      <c r="A159" s="77" t="n">
        <v>146</v>
      </c>
      <c r="B159" s="78" t="s">
        <v>265</v>
      </c>
    </row>
    <row r="160" customFormat="false" ht="13.5" hidden="false" customHeight="true" outlineLevel="0" collapsed="false">
      <c r="A160" s="77" t="n">
        <v>147</v>
      </c>
      <c r="B160" s="78" t="s">
        <v>266</v>
      </c>
    </row>
    <row r="161" customFormat="false" ht="13.5" hidden="false" customHeight="true" outlineLevel="0" collapsed="false">
      <c r="A161" s="77" t="n">
        <v>148</v>
      </c>
      <c r="B161" s="78" t="s">
        <v>267</v>
      </c>
    </row>
    <row r="162" customFormat="false" ht="13.5" hidden="false" customHeight="true" outlineLevel="0" collapsed="false">
      <c r="A162" s="77" t="n">
        <v>149</v>
      </c>
      <c r="B162" s="78" t="s">
        <v>268</v>
      </c>
    </row>
    <row r="163" customFormat="false" ht="13.5" hidden="false" customHeight="true" outlineLevel="0" collapsed="false">
      <c r="A163" s="77" t="n">
        <v>150</v>
      </c>
      <c r="B163" s="78"/>
    </row>
    <row r="164" customFormat="false" ht="13.5" hidden="false" customHeight="true" outlineLevel="0" collapsed="false">
      <c r="A164" s="77" t="n">
        <v>151</v>
      </c>
      <c r="B164" s="78" t="s">
        <v>269</v>
      </c>
    </row>
    <row r="165" customFormat="false" ht="13.5" hidden="false" customHeight="true" outlineLevel="0" collapsed="false">
      <c r="A165" s="77" t="n">
        <v>152</v>
      </c>
      <c r="B165" s="78" t="s">
        <v>270</v>
      </c>
    </row>
    <row r="166" customFormat="false" ht="13.5" hidden="false" customHeight="true" outlineLevel="0" collapsed="false">
      <c r="A166" s="77" t="n">
        <v>153</v>
      </c>
      <c r="B166" s="78" t="s">
        <v>271</v>
      </c>
    </row>
    <row r="167" customFormat="false" ht="13.5" hidden="false" customHeight="true" outlineLevel="0" collapsed="false">
      <c r="A167" s="77" t="n">
        <v>154</v>
      </c>
      <c r="B167" s="78" t="s">
        <v>272</v>
      </c>
    </row>
    <row r="168" customFormat="false" ht="13.5" hidden="false" customHeight="true" outlineLevel="0" collapsed="false">
      <c r="A168" s="77" t="n">
        <v>155</v>
      </c>
      <c r="B168" s="78" t="s">
        <v>273</v>
      </c>
    </row>
    <row r="169" customFormat="false" ht="13.5" hidden="false" customHeight="true" outlineLevel="0" collapsed="false">
      <c r="A169" s="77" t="n">
        <v>156</v>
      </c>
      <c r="B169" s="78" t="s">
        <v>274</v>
      </c>
    </row>
    <row r="170" customFormat="false" ht="13.5" hidden="false" customHeight="true" outlineLevel="0" collapsed="false">
      <c r="A170" s="77" t="n">
        <v>157</v>
      </c>
      <c r="B170" s="78" t="s">
        <v>275</v>
      </c>
    </row>
    <row r="171" customFormat="false" ht="13.5" hidden="false" customHeight="true" outlineLevel="0" collapsed="false">
      <c r="A171" s="77" t="n">
        <v>158</v>
      </c>
      <c r="B171" s="78" t="s">
        <v>222</v>
      </c>
    </row>
    <row r="172" customFormat="false" ht="13.5" hidden="false" customHeight="true" outlineLevel="0" collapsed="false">
      <c r="A172" s="77" t="n">
        <v>159</v>
      </c>
      <c r="B172" s="78" t="s">
        <v>276</v>
      </c>
    </row>
    <row r="173" customFormat="false" ht="13.5" hidden="false" customHeight="true" outlineLevel="0" collapsed="false">
      <c r="A173" s="77" t="n">
        <v>160</v>
      </c>
      <c r="B173" s="78" t="s">
        <v>277</v>
      </c>
    </row>
    <row r="174" customFormat="false" ht="13.5" hidden="false" customHeight="true" outlineLevel="0" collapsed="false">
      <c r="A174" s="77" t="n">
        <v>161</v>
      </c>
      <c r="B174" s="78"/>
    </row>
    <row r="175" customFormat="false" ht="13.5" hidden="false" customHeight="true" outlineLevel="0" collapsed="false">
      <c r="A175" s="77" t="n">
        <v>162</v>
      </c>
      <c r="B175" s="78" t="s">
        <v>278</v>
      </c>
    </row>
    <row r="176" customFormat="false" ht="13.5" hidden="false" customHeight="true" outlineLevel="0" collapsed="false">
      <c r="A176" s="77" t="n">
        <v>163</v>
      </c>
      <c r="B176" s="78" t="s">
        <v>279</v>
      </c>
    </row>
    <row r="177" customFormat="false" ht="13.5" hidden="false" customHeight="true" outlineLevel="0" collapsed="false">
      <c r="A177" s="77" t="n">
        <v>164</v>
      </c>
      <c r="B177" s="78"/>
    </row>
    <row r="178" customFormat="false" ht="13.5" hidden="false" customHeight="true" outlineLevel="0" collapsed="false">
      <c r="A178" s="77" t="n">
        <v>165</v>
      </c>
      <c r="B178" s="78" t="s">
        <v>280</v>
      </c>
    </row>
    <row r="179" customFormat="false" ht="13.5" hidden="false" customHeight="true" outlineLevel="0" collapsed="false">
      <c r="A179" s="77" t="n">
        <v>166</v>
      </c>
      <c r="B179" s="78" t="s">
        <v>281</v>
      </c>
    </row>
    <row r="180" customFormat="false" ht="13.5" hidden="false" customHeight="true" outlineLevel="0" collapsed="false">
      <c r="A180" s="77" t="n">
        <v>167</v>
      </c>
      <c r="B180" s="78" t="s">
        <v>282</v>
      </c>
    </row>
    <row r="181" customFormat="false" ht="13.5" hidden="false" customHeight="true" outlineLevel="0" collapsed="false">
      <c r="A181" s="77" t="n">
        <v>168</v>
      </c>
      <c r="B181" s="78" t="s">
        <v>283</v>
      </c>
    </row>
    <row r="182" customFormat="false" ht="13.5" hidden="false" customHeight="true" outlineLevel="0" collapsed="false">
      <c r="A182" s="77" t="n">
        <v>169</v>
      </c>
      <c r="B182" s="78" t="s">
        <v>284</v>
      </c>
    </row>
    <row r="183" customFormat="false" ht="13.5" hidden="false" customHeight="true" outlineLevel="0" collapsed="false">
      <c r="A183" s="77" t="n">
        <v>170</v>
      </c>
      <c r="B183" s="78" t="s">
        <v>285</v>
      </c>
    </row>
    <row r="184" customFormat="false" ht="13.5" hidden="false" customHeight="true" outlineLevel="0" collapsed="false">
      <c r="A184" s="77" t="n">
        <v>171</v>
      </c>
      <c r="B184" s="78" t="s">
        <v>286</v>
      </c>
    </row>
    <row r="185" customFormat="false" ht="13.5" hidden="false" customHeight="true" outlineLevel="0" collapsed="false">
      <c r="A185" s="77" t="n">
        <v>172</v>
      </c>
      <c r="B185" s="78"/>
    </row>
    <row r="186" customFormat="false" ht="13.5" hidden="false" customHeight="true" outlineLevel="0" collapsed="false">
      <c r="A186" s="77" t="n">
        <v>173</v>
      </c>
      <c r="B186" s="78" t="s">
        <v>287</v>
      </c>
    </row>
    <row r="187" customFormat="false" ht="13.5" hidden="false" customHeight="true" outlineLevel="0" collapsed="false">
      <c r="A187" s="77" t="n">
        <v>174</v>
      </c>
      <c r="B187" s="78" t="s">
        <v>288</v>
      </c>
    </row>
    <row r="188" customFormat="false" ht="13.5" hidden="false" customHeight="true" outlineLevel="0" collapsed="false">
      <c r="A188" s="77" t="n">
        <v>175</v>
      </c>
      <c r="B188" s="78" t="s">
        <v>289</v>
      </c>
    </row>
    <row r="189" customFormat="false" ht="13.5" hidden="false" customHeight="true" outlineLevel="0" collapsed="false">
      <c r="A189" s="77" t="n">
        <v>176</v>
      </c>
      <c r="B189" s="78" t="s">
        <v>290</v>
      </c>
    </row>
    <row r="190" customFormat="false" ht="13.5" hidden="false" customHeight="true" outlineLevel="0" collapsed="false">
      <c r="A190" s="77" t="n">
        <v>177</v>
      </c>
      <c r="B190" s="78" t="s">
        <v>291</v>
      </c>
    </row>
    <row r="191" customFormat="false" ht="13.5" hidden="false" customHeight="true" outlineLevel="0" collapsed="false">
      <c r="A191" s="77" t="n">
        <v>178</v>
      </c>
      <c r="B191" s="78"/>
    </row>
    <row r="192" customFormat="false" ht="13.5" hidden="false" customHeight="true" outlineLevel="0" collapsed="false">
      <c r="A192" s="77" t="n">
        <v>179</v>
      </c>
      <c r="B192" s="78" t="s">
        <v>292</v>
      </c>
    </row>
    <row r="193" customFormat="false" ht="13.5" hidden="false" customHeight="true" outlineLevel="0" collapsed="false">
      <c r="A193" s="77" t="n">
        <v>180</v>
      </c>
      <c r="B193" s="78" t="s">
        <v>293</v>
      </c>
    </row>
    <row r="194" customFormat="false" ht="13.5" hidden="false" customHeight="true" outlineLevel="0" collapsed="false">
      <c r="A194" s="77" t="n">
        <v>181</v>
      </c>
      <c r="B194" s="78"/>
    </row>
    <row r="195" customFormat="false" ht="13.5" hidden="false" customHeight="true" outlineLevel="0" collapsed="false">
      <c r="A195" s="77" t="n">
        <v>182</v>
      </c>
      <c r="B195" s="78" t="s">
        <v>294</v>
      </c>
    </row>
    <row r="196" customFormat="false" ht="13.5" hidden="false" customHeight="true" outlineLevel="0" collapsed="false">
      <c r="A196" s="77" t="n">
        <v>183</v>
      </c>
      <c r="B196" s="78" t="s">
        <v>295</v>
      </c>
    </row>
    <row r="197" customFormat="false" ht="13.5" hidden="false" customHeight="true" outlineLevel="0" collapsed="false">
      <c r="A197" s="77" t="n">
        <v>184</v>
      </c>
      <c r="B197" s="78" t="s">
        <v>296</v>
      </c>
    </row>
    <row r="198" customFormat="false" ht="13.5" hidden="false" customHeight="true" outlineLevel="0" collapsed="false">
      <c r="A198" s="77" t="n">
        <v>185</v>
      </c>
      <c r="B198" s="78" t="s">
        <v>297</v>
      </c>
    </row>
    <row r="199" customFormat="false" ht="13.5" hidden="false" customHeight="true" outlineLevel="0" collapsed="false">
      <c r="A199" s="77" t="n">
        <v>186</v>
      </c>
      <c r="B199" s="78" t="s">
        <v>298</v>
      </c>
    </row>
    <row r="200" customFormat="false" ht="13.5" hidden="false" customHeight="true" outlineLevel="0" collapsed="false">
      <c r="A200" s="77" t="n">
        <v>187</v>
      </c>
      <c r="B200" s="78" t="s">
        <v>299</v>
      </c>
    </row>
    <row r="201" customFormat="false" ht="13.5" hidden="false" customHeight="true" outlineLevel="0" collapsed="false">
      <c r="A201" s="77" t="n">
        <v>188</v>
      </c>
      <c r="B201" s="78" t="s">
        <v>300</v>
      </c>
    </row>
    <row r="202" customFormat="false" ht="13.5" hidden="false" customHeight="true" outlineLevel="0" collapsed="false">
      <c r="A202" s="77" t="n">
        <v>189</v>
      </c>
      <c r="B202" s="78" t="s">
        <v>301</v>
      </c>
    </row>
    <row r="203" customFormat="false" ht="13.5" hidden="false" customHeight="true" outlineLevel="0" collapsed="false">
      <c r="A203" s="77" t="n">
        <v>190</v>
      </c>
      <c r="B203" s="78" t="s">
        <v>302</v>
      </c>
    </row>
    <row r="204" customFormat="false" ht="13.5" hidden="false" customHeight="true" outlineLevel="0" collapsed="false">
      <c r="A204" s="77" t="n">
        <v>191</v>
      </c>
      <c r="B204" s="78" t="s">
        <v>222</v>
      </c>
    </row>
    <row r="205" customFormat="false" ht="13.5" hidden="false" customHeight="true" outlineLevel="0" collapsed="false">
      <c r="A205" s="77" t="n">
        <v>192</v>
      </c>
      <c r="B205" s="78" t="s">
        <v>277</v>
      </c>
    </row>
    <row r="206" customFormat="false" ht="13.5" hidden="false" customHeight="true" outlineLevel="0" collapsed="false">
      <c r="A206" s="77" t="n">
        <v>193</v>
      </c>
      <c r="B206" s="78"/>
    </row>
    <row r="207" customFormat="false" ht="13.5" hidden="false" customHeight="true" outlineLevel="0" collapsed="false">
      <c r="A207" s="77" t="n">
        <v>194</v>
      </c>
      <c r="B207" s="78" t="s">
        <v>303</v>
      </c>
    </row>
    <row r="208" customFormat="false" ht="13.5" hidden="false" customHeight="true" outlineLevel="0" collapsed="false">
      <c r="A208" s="77" t="n">
        <v>195</v>
      </c>
      <c r="B208" s="78" t="s">
        <v>304</v>
      </c>
    </row>
    <row r="209" customFormat="false" ht="13.5" hidden="false" customHeight="true" outlineLevel="0" collapsed="false">
      <c r="A209" s="77" t="n">
        <v>196</v>
      </c>
      <c r="B209" s="78" t="s">
        <v>305</v>
      </c>
    </row>
    <row r="210" customFormat="false" ht="13.5" hidden="false" customHeight="true" outlineLevel="0" collapsed="false">
      <c r="A210" s="77" t="n">
        <v>197</v>
      </c>
      <c r="B210" s="78" t="s">
        <v>306</v>
      </c>
    </row>
    <row r="211" customFormat="false" ht="13.5" hidden="false" customHeight="true" outlineLevel="0" collapsed="false">
      <c r="A211" s="77" t="n">
        <v>198</v>
      </c>
      <c r="B211" s="78"/>
    </row>
    <row r="212" customFormat="false" ht="13.5" hidden="false" customHeight="true" outlineLevel="0" collapsed="false">
      <c r="A212" s="77" t="n">
        <v>199</v>
      </c>
      <c r="B212" s="78" t="s">
        <v>307</v>
      </c>
    </row>
    <row r="213" customFormat="false" ht="13.5" hidden="false" customHeight="true" outlineLevel="0" collapsed="false">
      <c r="A213" s="77" t="n">
        <v>200</v>
      </c>
      <c r="B213" s="78" t="s">
        <v>308</v>
      </c>
    </row>
    <row r="214" customFormat="false" ht="13.5" hidden="false" customHeight="true" outlineLevel="0" collapsed="false">
      <c r="A214" s="77" t="n">
        <v>201</v>
      </c>
      <c r="B214" s="78" t="s">
        <v>309</v>
      </c>
    </row>
    <row r="215" customFormat="false" ht="13.5" hidden="false" customHeight="true" outlineLevel="0" collapsed="false">
      <c r="A215" s="77" t="n">
        <v>202</v>
      </c>
      <c r="B215" s="78"/>
    </row>
    <row r="216" customFormat="false" ht="13.5" hidden="false" customHeight="true" outlineLevel="0" collapsed="false">
      <c r="A216" s="77" t="n">
        <v>203</v>
      </c>
      <c r="B216" s="78" t="s">
        <v>310</v>
      </c>
    </row>
    <row r="217" customFormat="false" ht="13.5" hidden="false" customHeight="true" outlineLevel="0" collapsed="false">
      <c r="A217" s="77" t="n">
        <v>204</v>
      </c>
      <c r="B217" s="78" t="s">
        <v>311</v>
      </c>
    </row>
    <row r="218" customFormat="false" ht="13.5" hidden="false" customHeight="true" outlineLevel="0" collapsed="false">
      <c r="A218" s="77" t="n">
        <v>205</v>
      </c>
      <c r="B218" s="78"/>
    </row>
    <row r="219" customFormat="false" ht="13.5" hidden="false" customHeight="true" outlineLevel="0" collapsed="false">
      <c r="A219" s="77" t="n">
        <v>206</v>
      </c>
      <c r="B219" s="78" t="s">
        <v>312</v>
      </c>
    </row>
    <row r="220" customFormat="false" ht="13.5" hidden="false" customHeight="true" outlineLevel="0" collapsed="false">
      <c r="A220" s="77" t="n">
        <v>207</v>
      </c>
      <c r="B220" s="78" t="s">
        <v>313</v>
      </c>
    </row>
    <row r="221" customFormat="false" ht="13.5" hidden="false" customHeight="true" outlineLevel="0" collapsed="false">
      <c r="A221" s="77" t="n">
        <v>208</v>
      </c>
      <c r="B221" s="78" t="s">
        <v>314</v>
      </c>
    </row>
    <row r="222" customFormat="false" ht="13.5" hidden="false" customHeight="true" outlineLevel="0" collapsed="false">
      <c r="A222" s="77" t="n">
        <v>209</v>
      </c>
      <c r="B222" s="78" t="s">
        <v>315</v>
      </c>
    </row>
    <row r="223" customFormat="false" ht="13.5" hidden="false" customHeight="true" outlineLevel="0" collapsed="false">
      <c r="A223" s="77" t="n">
        <v>210</v>
      </c>
      <c r="B223" s="78" t="s">
        <v>316</v>
      </c>
    </row>
    <row r="224" customFormat="false" ht="13.5" hidden="false" customHeight="true" outlineLevel="0" collapsed="false">
      <c r="A224" s="77" t="n">
        <v>211</v>
      </c>
      <c r="B224" s="78" t="s">
        <v>317</v>
      </c>
    </row>
    <row r="225" customFormat="false" ht="13.5" hidden="false" customHeight="true" outlineLevel="0" collapsed="false">
      <c r="A225" s="77" t="n">
        <v>212</v>
      </c>
      <c r="B225" s="78"/>
    </row>
    <row r="226" customFormat="false" ht="13.5" hidden="false" customHeight="true" outlineLevel="0" collapsed="false">
      <c r="A226" s="77" t="n">
        <v>213</v>
      </c>
      <c r="B226" s="78" t="s">
        <v>318</v>
      </c>
    </row>
    <row r="227" customFormat="false" ht="13.5" hidden="false" customHeight="true" outlineLevel="0" collapsed="false">
      <c r="A227" s="77" t="n">
        <v>214</v>
      </c>
      <c r="B227" s="78" t="s">
        <v>319</v>
      </c>
    </row>
    <row r="228" customFormat="false" ht="13.5" hidden="false" customHeight="true" outlineLevel="0" collapsed="false">
      <c r="A228" s="77" t="n">
        <v>215</v>
      </c>
      <c r="B228" s="78" t="s">
        <v>320</v>
      </c>
    </row>
    <row r="229" customFormat="false" ht="13.5" hidden="false" customHeight="true" outlineLevel="0" collapsed="false">
      <c r="A229" s="77" t="n">
        <v>216</v>
      </c>
      <c r="B229" s="78" t="s">
        <v>321</v>
      </c>
    </row>
    <row r="230" customFormat="false" ht="13.5" hidden="false" customHeight="true" outlineLevel="0" collapsed="false">
      <c r="A230" s="77" t="n">
        <v>217</v>
      </c>
      <c r="B230" s="78" t="s">
        <v>322</v>
      </c>
    </row>
    <row r="231" customFormat="false" ht="13.5" hidden="false" customHeight="true" outlineLevel="0" collapsed="false">
      <c r="A231" s="77" t="n">
        <v>218</v>
      </c>
      <c r="B231" s="78" t="s">
        <v>222</v>
      </c>
    </row>
    <row r="232" customFormat="false" ht="13.5" hidden="false" customHeight="true" outlineLevel="0" collapsed="false">
      <c r="A232" s="77" t="n">
        <v>219</v>
      </c>
      <c r="B232" s="78"/>
    </row>
    <row r="233" customFormat="false" ht="13.5" hidden="false" customHeight="true" outlineLevel="0" collapsed="false">
      <c r="A233" s="77" t="n">
        <v>220</v>
      </c>
      <c r="B233" s="78" t="s">
        <v>323</v>
      </c>
    </row>
    <row r="234" customFormat="false" ht="13.5" hidden="false" customHeight="true" outlineLevel="0" collapsed="false">
      <c r="A234" s="77" t="n">
        <v>221</v>
      </c>
      <c r="B234" s="78" t="s">
        <v>324</v>
      </c>
    </row>
    <row r="235" customFormat="false" ht="13.5" hidden="false" customHeight="true" outlineLevel="0" collapsed="false">
      <c r="A235" s="77" t="n">
        <v>222</v>
      </c>
      <c r="B235" s="78" t="s">
        <v>325</v>
      </c>
    </row>
    <row r="236" customFormat="false" ht="13.5" hidden="false" customHeight="true" outlineLevel="0" collapsed="false">
      <c r="A236" s="77" t="n">
        <v>223</v>
      </c>
      <c r="B236" s="78" t="s">
        <v>326</v>
      </c>
    </row>
    <row r="237" customFormat="false" ht="13.5" hidden="false" customHeight="true" outlineLevel="0" collapsed="false">
      <c r="A237" s="77" t="n">
        <v>224</v>
      </c>
      <c r="B237" s="78" t="s">
        <v>327</v>
      </c>
    </row>
    <row r="238" customFormat="false" ht="13.5" hidden="false" customHeight="true" outlineLevel="0" collapsed="false">
      <c r="A238" s="77" t="n">
        <v>225</v>
      </c>
      <c r="B238" s="78" t="s">
        <v>328</v>
      </c>
    </row>
    <row r="239" customFormat="false" ht="13.5" hidden="false" customHeight="true" outlineLevel="0" collapsed="false">
      <c r="A239" s="77" t="n">
        <v>226</v>
      </c>
      <c r="B239" s="78" t="s">
        <v>329</v>
      </c>
    </row>
    <row r="240" customFormat="false" ht="13.5" hidden="false" customHeight="true" outlineLevel="0" collapsed="false">
      <c r="A240" s="77" t="n">
        <v>227</v>
      </c>
      <c r="B240" s="78" t="s">
        <v>274</v>
      </c>
    </row>
    <row r="241" customFormat="false" ht="13.5" hidden="false" customHeight="true" outlineLevel="0" collapsed="false">
      <c r="A241" s="77" t="n">
        <v>228</v>
      </c>
      <c r="B241" s="78" t="s">
        <v>330</v>
      </c>
    </row>
    <row r="242" customFormat="false" ht="13.5" hidden="false" customHeight="true" outlineLevel="0" collapsed="false">
      <c r="A242" s="77" t="n">
        <v>229</v>
      </c>
      <c r="B242" s="78" t="s">
        <v>222</v>
      </c>
    </row>
    <row r="243" customFormat="false" ht="13.5" hidden="false" customHeight="true" outlineLevel="0" collapsed="false">
      <c r="A243" s="77" t="n">
        <v>230</v>
      </c>
      <c r="B243" s="78" t="s">
        <v>331</v>
      </c>
    </row>
    <row r="244" customFormat="false" ht="13.5" hidden="false" customHeight="true" outlineLevel="0" collapsed="false">
      <c r="A244" s="77" t="n">
        <v>231</v>
      </c>
      <c r="B244" s="78"/>
    </row>
    <row r="245" customFormat="false" ht="13.5" hidden="false" customHeight="true" outlineLevel="0" collapsed="false">
      <c r="A245" s="77" t="n">
        <v>232</v>
      </c>
      <c r="B245" s="78" t="s">
        <v>332</v>
      </c>
    </row>
    <row r="246" customFormat="false" ht="13.5" hidden="false" customHeight="true" outlineLevel="0" collapsed="false">
      <c r="A246" s="77" t="n">
        <v>233</v>
      </c>
      <c r="B246" s="78" t="s">
        <v>333</v>
      </c>
    </row>
    <row r="247" customFormat="false" ht="13.5" hidden="false" customHeight="true" outlineLevel="0" collapsed="false">
      <c r="A247" s="77" t="n">
        <v>234</v>
      </c>
      <c r="B247" s="78" t="s">
        <v>334</v>
      </c>
    </row>
    <row r="248" customFormat="false" ht="13.5" hidden="false" customHeight="true" outlineLevel="0" collapsed="false">
      <c r="A248" s="77" t="n">
        <v>235</v>
      </c>
      <c r="B248" s="78"/>
    </row>
    <row r="249" customFormat="false" ht="13.5" hidden="false" customHeight="true" outlineLevel="0" collapsed="false">
      <c r="A249" s="77" t="n">
        <v>236</v>
      </c>
      <c r="B249" s="78" t="s">
        <v>335</v>
      </c>
    </row>
    <row r="250" customFormat="false" ht="13.5" hidden="false" customHeight="true" outlineLevel="0" collapsed="false">
      <c r="A250" s="77" t="n">
        <v>237</v>
      </c>
      <c r="B250" s="78" t="s">
        <v>336</v>
      </c>
    </row>
    <row r="251" customFormat="false" ht="13.5" hidden="false" customHeight="true" outlineLevel="0" collapsed="false">
      <c r="A251" s="77" t="n">
        <v>238</v>
      </c>
      <c r="B251" s="78"/>
    </row>
    <row r="252" customFormat="false" ht="13.5" hidden="false" customHeight="true" outlineLevel="0" collapsed="false">
      <c r="A252" s="77" t="n">
        <v>239</v>
      </c>
      <c r="B252" s="78" t="s">
        <v>337</v>
      </c>
    </row>
    <row r="253" customFormat="false" ht="13.5" hidden="false" customHeight="true" outlineLevel="0" collapsed="false">
      <c r="A253" s="77" t="n">
        <v>240</v>
      </c>
      <c r="B253" s="78" t="s">
        <v>338</v>
      </c>
    </row>
    <row r="254" customFormat="false" ht="13.5" hidden="false" customHeight="true" outlineLevel="0" collapsed="false">
      <c r="A254" s="77" t="n">
        <v>241</v>
      </c>
      <c r="B254" s="78" t="s">
        <v>339</v>
      </c>
    </row>
    <row r="255" customFormat="false" ht="13.5" hidden="false" customHeight="true" outlineLevel="0" collapsed="false">
      <c r="A255" s="77" t="n">
        <v>242</v>
      </c>
      <c r="B255" s="78" t="s">
        <v>340</v>
      </c>
    </row>
    <row r="256" customFormat="false" ht="13.5" hidden="false" customHeight="true" outlineLevel="0" collapsed="false">
      <c r="A256" s="77" t="n">
        <v>243</v>
      </c>
      <c r="B256" s="78" t="s">
        <v>341</v>
      </c>
    </row>
    <row r="257" customFormat="false" ht="13.5" hidden="false" customHeight="true" outlineLevel="0" collapsed="false">
      <c r="A257" s="77" t="n">
        <v>244</v>
      </c>
      <c r="B257" s="78" t="s">
        <v>342</v>
      </c>
    </row>
    <row r="258" customFormat="false" ht="13.5" hidden="false" customHeight="true" outlineLevel="0" collapsed="false">
      <c r="A258" s="77" t="n">
        <v>245</v>
      </c>
      <c r="B258" s="78"/>
    </row>
    <row r="259" customFormat="false" ht="13.5" hidden="false" customHeight="true" outlineLevel="0" collapsed="false">
      <c r="A259" s="77" t="n">
        <v>246</v>
      </c>
      <c r="B259" s="78" t="s">
        <v>343</v>
      </c>
    </row>
    <row r="260" customFormat="false" ht="13.5" hidden="false" customHeight="true" outlineLevel="0" collapsed="false">
      <c r="A260" s="77" t="n">
        <v>247</v>
      </c>
      <c r="B260" s="78" t="s">
        <v>344</v>
      </c>
    </row>
    <row r="261" customFormat="false" ht="13.5" hidden="false" customHeight="true" outlineLevel="0" collapsed="false">
      <c r="A261" s="77" t="n">
        <v>248</v>
      </c>
      <c r="B261" s="78" t="s">
        <v>335</v>
      </c>
    </row>
    <row r="262" customFormat="false" ht="13.5" hidden="false" customHeight="true" outlineLevel="0" collapsed="false">
      <c r="A262" s="77" t="n">
        <v>249</v>
      </c>
      <c r="B262" s="78" t="s">
        <v>336</v>
      </c>
    </row>
    <row r="263" customFormat="false" ht="13.5" hidden="false" customHeight="true" outlineLevel="0" collapsed="false">
      <c r="A263" s="77" t="n">
        <v>250</v>
      </c>
      <c r="B263" s="78" t="s">
        <v>345</v>
      </c>
    </row>
    <row r="264" customFormat="false" ht="13.5" hidden="false" customHeight="true" outlineLevel="0" collapsed="false">
      <c r="A264" s="77" t="n">
        <v>251</v>
      </c>
      <c r="B264" s="78" t="s">
        <v>346</v>
      </c>
    </row>
    <row r="265" customFormat="false" ht="13.5" hidden="false" customHeight="true" outlineLevel="0" collapsed="false">
      <c r="A265" s="77" t="n">
        <v>252</v>
      </c>
      <c r="B265" s="78" t="s">
        <v>347</v>
      </c>
    </row>
    <row r="266" customFormat="false" ht="13.5" hidden="false" customHeight="true" outlineLevel="0" collapsed="false">
      <c r="A266" s="77" t="n">
        <v>253</v>
      </c>
      <c r="B266" s="78" t="s">
        <v>348</v>
      </c>
    </row>
    <row r="267" customFormat="false" ht="13.5" hidden="false" customHeight="true" outlineLevel="0" collapsed="false">
      <c r="A267" s="77" t="n">
        <v>254</v>
      </c>
      <c r="B267" s="78" t="s">
        <v>349</v>
      </c>
    </row>
    <row r="268" customFormat="false" ht="13.5" hidden="false" customHeight="true" outlineLevel="0" collapsed="false">
      <c r="A268" s="77" t="n">
        <v>255</v>
      </c>
      <c r="B268" s="78" t="s">
        <v>350</v>
      </c>
    </row>
    <row r="269" customFormat="false" ht="13.5" hidden="false" customHeight="true" outlineLevel="0" collapsed="false">
      <c r="A269" s="77" t="n">
        <v>256</v>
      </c>
      <c r="B269" s="78" t="s">
        <v>351</v>
      </c>
    </row>
    <row r="270" customFormat="false" ht="13.5" hidden="false" customHeight="true" outlineLevel="0" collapsed="false">
      <c r="A270" s="77" t="n">
        <v>257</v>
      </c>
      <c r="B270" s="78"/>
    </row>
    <row r="271" customFormat="false" ht="13.5" hidden="false" customHeight="true" outlineLevel="0" collapsed="false">
      <c r="A271" s="77" t="n">
        <v>258</v>
      </c>
      <c r="B271" s="78" t="s">
        <v>352</v>
      </c>
    </row>
    <row r="272" customFormat="false" ht="13.5" hidden="false" customHeight="true" outlineLevel="0" collapsed="false">
      <c r="A272" s="77" t="n">
        <v>259</v>
      </c>
      <c r="B272" s="78" t="s">
        <v>353</v>
      </c>
    </row>
    <row r="273" customFormat="false" ht="13.5" hidden="false" customHeight="true" outlineLevel="0" collapsed="false">
      <c r="A273" s="77" t="n">
        <v>260</v>
      </c>
      <c r="B273" s="78" t="s">
        <v>354</v>
      </c>
    </row>
    <row r="274" customFormat="false" ht="13.5" hidden="false" customHeight="true" outlineLevel="0" collapsed="false">
      <c r="A274" s="77" t="n">
        <v>261</v>
      </c>
      <c r="B274" s="78" t="s">
        <v>355</v>
      </c>
    </row>
    <row r="275" customFormat="false" ht="13.5" hidden="false" customHeight="true" outlineLevel="0" collapsed="false">
      <c r="A275" s="77" t="n">
        <v>262</v>
      </c>
      <c r="B275" s="78" t="s">
        <v>356</v>
      </c>
    </row>
    <row r="276" customFormat="false" ht="13.5" hidden="false" customHeight="true" outlineLevel="0" collapsed="false">
      <c r="A276" s="77" t="n">
        <v>263</v>
      </c>
      <c r="B276" s="78" t="s">
        <v>357</v>
      </c>
    </row>
    <row r="277" customFormat="false" ht="13.5" hidden="false" customHeight="true" outlineLevel="0" collapsed="false">
      <c r="A277" s="77" t="n">
        <v>264</v>
      </c>
      <c r="B277" s="78" t="s">
        <v>335</v>
      </c>
    </row>
    <row r="278" customFormat="false" ht="13.5" hidden="false" customHeight="true" outlineLevel="0" collapsed="false">
      <c r="A278" s="77" t="n">
        <v>265</v>
      </c>
      <c r="B278" s="78" t="s">
        <v>336</v>
      </c>
    </row>
    <row r="279" customFormat="false" ht="13.5" hidden="false" customHeight="true" outlineLevel="0" collapsed="false">
      <c r="A279" s="77" t="n">
        <v>266</v>
      </c>
      <c r="B279" s="78" t="s">
        <v>358</v>
      </c>
    </row>
    <row r="280" customFormat="false" ht="13.5" hidden="false" customHeight="true" outlineLevel="0" collapsed="false">
      <c r="A280" s="77" t="n">
        <v>267</v>
      </c>
      <c r="B280" s="78"/>
    </row>
    <row r="281" customFormat="false" ht="13.5" hidden="false" customHeight="true" outlineLevel="0" collapsed="false">
      <c r="A281" s="77" t="n">
        <v>268</v>
      </c>
      <c r="B281" s="78" t="s">
        <v>359</v>
      </c>
    </row>
    <row r="282" customFormat="false" ht="13.5" hidden="false" customHeight="true" outlineLevel="0" collapsed="false">
      <c r="A282" s="77" t="n">
        <v>269</v>
      </c>
      <c r="B282" s="78" t="s">
        <v>360</v>
      </c>
    </row>
    <row r="283" customFormat="false" ht="13.5" hidden="false" customHeight="true" outlineLevel="0" collapsed="false">
      <c r="A283" s="77" t="n">
        <v>270</v>
      </c>
      <c r="B283" s="78" t="s">
        <v>361</v>
      </c>
    </row>
    <row r="284" customFormat="false" ht="13.5" hidden="false" customHeight="true" outlineLevel="0" collapsed="false">
      <c r="A284" s="77" t="n">
        <v>271</v>
      </c>
      <c r="B284" s="78" t="s">
        <v>178</v>
      </c>
    </row>
    <row r="285" customFormat="false" ht="13.5" hidden="false" customHeight="true" outlineLevel="0" collapsed="false">
      <c r="A285" s="77" t="n">
        <v>272</v>
      </c>
      <c r="B285" s="78"/>
    </row>
    <row r="286" customFormat="false" ht="13.5" hidden="false" customHeight="true" outlineLevel="0" collapsed="false">
      <c r="A286" s="77" t="n">
        <v>273</v>
      </c>
      <c r="B286" s="78" t="s">
        <v>362</v>
      </c>
    </row>
    <row r="287" customFormat="false" ht="13.5" hidden="false" customHeight="true" outlineLevel="0" collapsed="false">
      <c r="A287" s="77" t="n">
        <v>274</v>
      </c>
      <c r="B287" s="78" t="s">
        <v>363</v>
      </c>
    </row>
    <row r="288" customFormat="false" ht="13.5" hidden="false" customHeight="true" outlineLevel="0" collapsed="false">
      <c r="A288" s="77" t="n">
        <v>275</v>
      </c>
      <c r="B288" s="78" t="s">
        <v>364</v>
      </c>
    </row>
    <row r="289" customFormat="false" ht="13.5" hidden="false" customHeight="true" outlineLevel="0" collapsed="false">
      <c r="A289" s="77" t="n">
        <v>276</v>
      </c>
      <c r="B289" s="78" t="s">
        <v>365</v>
      </c>
    </row>
    <row r="290" customFormat="false" ht="13.5" hidden="false" customHeight="true" outlineLevel="0" collapsed="false">
      <c r="A290" s="77" t="n">
        <v>277</v>
      </c>
      <c r="B290" s="78"/>
    </row>
    <row r="291" customFormat="false" ht="13.5" hidden="false" customHeight="true" outlineLevel="0" collapsed="false">
      <c r="A291" s="77" t="n">
        <v>278</v>
      </c>
      <c r="B291" s="78" t="s">
        <v>366</v>
      </c>
    </row>
    <row r="292" customFormat="false" ht="13.5" hidden="false" customHeight="true" outlineLevel="0" collapsed="false">
      <c r="A292" s="77" t="n">
        <v>279</v>
      </c>
      <c r="B292" s="78"/>
    </row>
    <row r="293" customFormat="false" ht="13.5" hidden="false" customHeight="true" outlineLevel="0" collapsed="false">
      <c r="A293" s="77" t="n">
        <v>280</v>
      </c>
      <c r="B293" s="78" t="s">
        <v>190</v>
      </c>
    </row>
    <row r="294" customFormat="false" ht="13.5" hidden="false" customHeight="true" outlineLevel="0" collapsed="false">
      <c r="A294" s="77" t="n">
        <v>281</v>
      </c>
      <c r="B294" s="78" t="s">
        <v>367</v>
      </c>
    </row>
    <row r="295" customFormat="false" ht="13.5" hidden="false" customHeight="true" outlineLevel="0" collapsed="false">
      <c r="A295" s="77" t="n">
        <v>282</v>
      </c>
      <c r="B295" s="78" t="s">
        <v>368</v>
      </c>
    </row>
    <row r="296" customFormat="false" ht="13.5" hidden="false" customHeight="true" outlineLevel="0" collapsed="false">
      <c r="A296" s="77" t="n">
        <v>283</v>
      </c>
      <c r="B296" s="78" t="s">
        <v>189</v>
      </c>
    </row>
    <row r="297" customFormat="false" ht="13.5" hidden="false" customHeight="true" outlineLevel="0" collapsed="false">
      <c r="A297" s="77" t="n">
        <v>284</v>
      </c>
      <c r="B297" s="78"/>
    </row>
    <row r="298" customFormat="false" ht="13.5" hidden="false" customHeight="true" outlineLevel="0" collapsed="false">
      <c r="A298" s="77" t="n">
        <v>285</v>
      </c>
      <c r="B298" s="78" t="s">
        <v>369</v>
      </c>
    </row>
    <row r="299" customFormat="false" ht="13.5" hidden="false" customHeight="true" outlineLevel="0" collapsed="false">
      <c r="A299" s="77" t="n">
        <v>286</v>
      </c>
      <c r="B299" s="78" t="s">
        <v>370</v>
      </c>
    </row>
    <row r="300" customFormat="false" ht="13.5" hidden="false" customHeight="true" outlineLevel="0" collapsed="false">
      <c r="A300" s="77" t="n">
        <v>287</v>
      </c>
      <c r="B300" s="78" t="s">
        <v>358</v>
      </c>
    </row>
  </sheetData>
  <mergeCells count="2">
    <mergeCell ref="A1:B1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2026-05-31T23:30:37Z</dcterms:created>
  <dc:creator>openpyxl</dc:creator>
  <dc:description/>
  <dc:language>en-US</dc:language>
  <cp:lastModifiedBy/>
  <dcterms:modified xsi:type="dcterms:W3CDTF">2026-06-01T10:21:35Z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