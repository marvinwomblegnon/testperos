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🏠 Accueil" sheetId="2" state="visible" r:id="rId2"/>
    <sheet xmlns:r="http://schemas.openxmlformats.org/officeDocument/2006/relationships" name="📥 Donnees Access" sheetId="3" state="visible" r:id="rId3"/>
    <sheet xmlns:r="http://schemas.openxmlformats.org/officeDocument/2006/relationships" name="📋 Suspens" sheetId="4" state="visible" r:id="rId4"/>
    <sheet xmlns:r="http://schemas.openxmlformats.org/officeDocument/2006/relationships" name="📊 Statistiques" sheetId="5" state="visible" r:id="rId5"/>
    <sheet xmlns:r="http://schemas.openxmlformats.org/officeDocument/2006/relationships" name="📈 Graphiques" sheetId="6" state="visible" r:id="rId6"/>
    <sheet xmlns:r="http://schemas.openxmlformats.org/officeDocument/2006/relationships" name="📅 Mensuel" sheetId="7" state="visible" r:id="rId7"/>
    <sheet xmlns:r="http://schemas.openxmlformats.org/officeDocument/2006/relationships" name="⚙️ Parametres" sheetId="8" state="visible" r:id="rId8"/>
    <sheet xmlns:r="http://schemas.openxmlformats.org/officeDocument/2006/relationships" name="📌 VBA Setup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d/mm/yyyy"/>
    <numFmt numFmtId="166" formatCode="0.0%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24"/>
    </font>
    <font>
      <name val="Arial"/>
      <charset val="1"/>
      <family val="0"/>
      <i val="1"/>
      <color rgb="FFD4AF37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4A4A4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4A4A4A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CDD5E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4A90D9"/>
      <sz val="10"/>
    </font>
    <font>
      <name val="Arial"/>
      <charset val="1"/>
      <family val="0"/>
      <color rgb="FFCDD5E0"/>
      <sz val="10"/>
    </font>
    <font>
      <name val="Arial"/>
      <charset val="1"/>
      <family val="0"/>
      <b val="1"/>
      <color rgb="FF4A4A4A"/>
      <sz val="10"/>
    </font>
    <font>
      <name val="Arial"/>
      <charset val="1"/>
      <family val="0"/>
      <color rgb="FF6A6A6A"/>
      <sz val="9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4A4A4A"/>
      <sz val="9"/>
    </font>
    <font>
      <name val="Arial"/>
      <charset val="1"/>
      <family val="0"/>
      <i val="1"/>
      <color rgb="FF888888"/>
      <sz val="8"/>
    </font>
    <font>
      <name val="Arial"/>
      <charset val="1"/>
      <family val="0"/>
      <b val="1"/>
      <color rgb="FFFFFFFF"/>
      <sz val="2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2E5FA3"/>
      <sz val="11"/>
    </font>
    <font>
      <name val="Arial"/>
      <charset val="1"/>
      <family val="0"/>
      <i val="1"/>
      <color rgb="FF4A4A4A"/>
      <sz val="9"/>
    </font>
    <font>
      <name val="Arial"/>
      <charset val="1"/>
      <family val="0"/>
      <i val="1"/>
      <color rgb="FF00695C"/>
      <sz val="8"/>
    </font>
    <font>
      <name val="Arial"/>
      <charset val="1"/>
      <family val="0"/>
      <b val="1"/>
      <color rgb="FFFFFFFF"/>
      <sz val="14"/>
    </font>
    <font>
      <name val="Courier New"/>
      <charset val="1"/>
      <family val="0"/>
      <color rgb="FFCDD5E0"/>
      <sz val="8"/>
    </font>
    <font>
      <name val="Courier New"/>
      <charset val="1"/>
      <family val="0"/>
      <color rgb="FF1A237E"/>
      <sz val="9"/>
    </font>
    <font>
      <name val="Arial"/>
      <sz val="9"/>
    </font>
    <font>
      <name val="Arial"/>
      <b val="1"/>
      <sz val="9"/>
    </font>
    <font>
      <name val="Courier New"/>
      <color rgb="00CDD5E0"/>
      <sz val="8"/>
    </font>
    <font>
      <name val="Courier New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FF1B2A4A"/>
        <bgColor rgb="FF1A237E"/>
      </patternFill>
    </fill>
    <fill>
      <patternFill patternType="solid">
        <fgColor rgb="FFD4AF37"/>
        <bgColor rgb="FFE67E22"/>
      </patternFill>
    </fill>
    <fill>
      <patternFill patternType="solid">
        <fgColor rgb="FF27AE60"/>
        <bgColor rgb="FF388E3C"/>
      </patternFill>
    </fill>
    <fill>
      <patternFill patternType="solid">
        <fgColor rgb="FFF5F7FA"/>
        <bgColor rgb="FFF9F9F9"/>
      </patternFill>
    </fill>
    <fill>
      <patternFill patternType="solid">
        <fgColor rgb="FFCDD5E0"/>
        <bgColor rgb="FFD9D9D9"/>
      </patternFill>
    </fill>
    <fill>
      <patternFill patternType="solid">
        <fgColor rgb="FF4A90D9"/>
        <bgColor rgb="FF4F81BD"/>
      </patternFill>
    </fill>
    <fill>
      <patternFill patternType="solid">
        <fgColor rgb="FFE67E22"/>
        <bgColor rgb="FFFF8080"/>
      </patternFill>
    </fill>
    <fill>
      <patternFill patternType="solid">
        <fgColor rgb="FFC0392B"/>
        <bgColor rgb="FFB71C1C"/>
      </patternFill>
    </fill>
    <fill>
      <patternFill patternType="solid">
        <fgColor rgb="FF2E5FA3"/>
        <bgColor rgb="FF455A64"/>
      </patternFill>
    </fill>
    <fill>
      <patternFill patternType="solid">
        <fgColor rgb="FF455A64"/>
        <bgColor rgb="FF4A4A4A"/>
      </patternFill>
    </fill>
    <fill>
      <patternFill patternType="solid">
        <fgColor rgb="FF37474F"/>
        <bgColor rgb="FF4A4A4A"/>
      </patternFill>
    </fill>
    <fill>
      <patternFill patternType="solid">
        <fgColor rgb="FF4A4A4A"/>
        <bgColor rgb="FF37474F"/>
      </patternFill>
    </fill>
    <fill>
      <patternFill patternType="solid">
        <fgColor rgb="FFFFFFFF"/>
        <bgColor rgb="FFF8F9FF"/>
      </patternFill>
    </fill>
    <fill>
      <patternFill patternType="solid">
        <fgColor rgb="FFFFF8DC"/>
        <bgColor rgb="FFFFF9C4"/>
      </patternFill>
    </fill>
    <fill>
      <patternFill patternType="solid">
        <fgColor rgb="FFE65100"/>
        <bgColor rgb="FFC0392B"/>
      </patternFill>
    </fill>
    <fill>
      <patternFill patternType="solid">
        <fgColor rgb="FF2E7D32"/>
        <bgColor rgb="FF388E3C"/>
      </patternFill>
    </fill>
    <fill>
      <patternFill patternType="solid">
        <fgColor rgb="FF1B5E20"/>
        <bgColor rgb="FF00695C"/>
      </patternFill>
    </fill>
    <fill>
      <patternFill patternType="solid">
        <fgColor rgb="FF388E3C"/>
        <bgColor rgb="FF2E7D32"/>
      </patternFill>
    </fill>
    <fill>
      <patternFill patternType="solid">
        <fgColor rgb="FF4A148C"/>
        <bgColor rgb="FF6A1B9A"/>
      </patternFill>
    </fill>
    <fill>
      <patternFill patternType="solid">
        <fgColor rgb="FF6A1B9A"/>
        <bgColor rgb="FF4A148C"/>
      </patternFill>
    </fill>
    <fill>
      <patternFill patternType="solid">
        <fgColor rgb="FF00695C"/>
        <bgColor rgb="FF1B5E20"/>
      </patternFill>
    </fill>
    <fill>
      <patternFill patternType="solid">
        <fgColor rgb="FFB71C1C"/>
        <bgColor rgb="FFC0392B"/>
      </patternFill>
    </fill>
    <fill>
      <patternFill patternType="solid">
        <fgColor rgb="FFF8F9FF"/>
        <bgColor rgb="FFF9F9F9"/>
      </patternFill>
    </fill>
    <fill>
      <patternFill patternType="solid">
        <fgColor rgb="00F8F9FF"/>
      </patternFill>
    </fill>
  </fills>
  <borders count="8">
    <border>
      <left/>
      <right/>
      <top/>
      <bottom/>
      <diagonal/>
    </border>
    <border>
      <left style="medium">
        <color rgb="FF1B2A4A"/>
      </left>
      <right/>
      <top style="medium">
        <color rgb="FF1B2A4A"/>
      </top>
      <bottom style="medium">
        <color rgb="FF1B2A4A"/>
      </bottom>
      <diagonal/>
    </border>
    <border>
      <left style="thin">
        <color rgb="FFCDD5E0"/>
      </left>
      <right/>
      <top style="thin">
        <color rgb="FFCDD5E0"/>
      </top>
      <bottom style="thin">
        <color rgb="FFCDD5E0"/>
      </bottom>
      <diagonal/>
    </border>
    <border>
      <left style="thin">
        <color rgb="FFCDD5E0"/>
      </left>
      <right style="thin">
        <color rgb="FFCDD5E0"/>
      </right>
      <top style="thin">
        <color rgb="FFCDD5E0"/>
      </top>
      <bottom style="thin">
        <color rgb="FFCDD5E0"/>
      </bottom>
      <diagonal/>
    </border>
    <border>
      <left/>
      <right/>
      <top style="medium">
        <color rgb="FF1B2A4A"/>
      </top>
      <bottom/>
      <diagonal/>
    </border>
    <border>
      <left/>
      <right/>
      <top style="medium">
        <color rgb="FF1B2A4A"/>
      </top>
      <bottom style="medium">
        <color rgb="FF1B2A4A"/>
      </bottom>
      <diagonal/>
    </border>
    <border>
      <left/>
      <right/>
      <top style="thin">
        <color rgb="FFCDD5E0"/>
      </top>
      <bottom/>
      <diagonal/>
    </border>
    <border>
      <left/>
      <right/>
      <top style="thin">
        <color rgb="FFCDD5E0"/>
      </top>
      <bottom style="thin">
        <color rgb="FFCDD5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9" fillId="7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bottom"/>
    </xf>
    <xf numFmtId="0" fontId="13" fillId="12" borderId="0" applyAlignment="1" pivotButton="0" quotePrefix="0" xfId="0">
      <alignment horizontal="center" vertical="center"/>
    </xf>
    <xf numFmtId="0" fontId="14" fillId="11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9" fillId="13" borderId="3" applyAlignment="1" pivotButton="0" quotePrefix="0" xfId="0">
      <alignment horizontal="center" vertical="center" wrapText="1"/>
    </xf>
    <xf numFmtId="0" fontId="16" fillId="14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left" vertical="center"/>
    </xf>
    <xf numFmtId="165" fontId="0" fillId="14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center" vertical="center"/>
    </xf>
    <xf numFmtId="1" fontId="17" fillId="15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left" vertical="center" wrapText="1"/>
    </xf>
    <xf numFmtId="0" fontId="18" fillId="5" borderId="3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/>
    </xf>
    <xf numFmtId="165" fontId="0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20" fillId="7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center" vertical="center"/>
    </xf>
    <xf numFmtId="164" fontId="10" fillId="5" borderId="3" applyAlignment="1" pivotButton="0" quotePrefix="0" xfId="0">
      <alignment horizontal="center" vertical="center"/>
    </xf>
    <xf numFmtId="166" fontId="10" fillId="5" borderId="3" applyAlignment="1" pivotButton="0" quotePrefix="0" xfId="0">
      <alignment horizontal="center" vertical="center"/>
    </xf>
    <xf numFmtId="1" fontId="21" fillId="5" borderId="3" applyAlignment="1" pivotButton="0" quotePrefix="0" xfId="0">
      <alignment horizontal="center" vertical="bottom"/>
    </xf>
    <xf numFmtId="0" fontId="17" fillId="14" borderId="3" applyAlignment="1" pivotButton="0" quotePrefix="0" xfId="0">
      <alignment horizontal="center" vertical="center"/>
    </xf>
    <xf numFmtId="164" fontId="10" fillId="14" borderId="3" applyAlignment="1" pivotButton="0" quotePrefix="0" xfId="0">
      <alignment horizontal="center" vertical="center"/>
    </xf>
    <xf numFmtId="166" fontId="10" fillId="14" borderId="3" applyAlignment="1" pivotButton="0" quotePrefix="0" xfId="0">
      <alignment horizontal="center" vertical="center"/>
    </xf>
    <xf numFmtId="1" fontId="21" fillId="14" borderId="3" applyAlignment="1" pivotButton="0" quotePrefix="0" xfId="0">
      <alignment horizontal="center" vertical="bottom"/>
    </xf>
    <xf numFmtId="0" fontId="20" fillId="2" borderId="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center" vertical="center"/>
    </xf>
    <xf numFmtId="0" fontId="13" fillId="16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center" vertical="bottom"/>
    </xf>
    <xf numFmtId="0" fontId="11" fillId="18" borderId="0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 wrapText="1"/>
    </xf>
    <xf numFmtId="0" fontId="14" fillId="17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/>
    </xf>
    <xf numFmtId="0" fontId="9" fillId="17" borderId="3" applyAlignment="1" pivotButton="0" quotePrefix="0" xfId="0">
      <alignment horizontal="center" vertical="center" wrapText="1"/>
    </xf>
    <xf numFmtId="0" fontId="14" fillId="19" borderId="3" applyAlignment="1" pivotButton="0" quotePrefix="0" xfId="0">
      <alignment horizontal="center" vertical="center" wrapText="1"/>
    </xf>
    <xf numFmtId="0" fontId="17" fillId="14" borderId="3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9" fillId="21" borderId="3" applyAlignment="1" pivotButton="0" quotePrefix="0" xfId="0">
      <alignment horizontal="center" vertical="center" wrapText="1"/>
    </xf>
    <xf numFmtId="0" fontId="9" fillId="22" borderId="3" applyAlignment="1" pivotButton="0" quotePrefix="0" xfId="0">
      <alignment horizontal="center" vertical="center" wrapText="1"/>
    </xf>
    <xf numFmtId="0" fontId="9" fillId="23" borderId="3" applyAlignment="1" pivotButton="0" quotePrefix="0" xfId="0">
      <alignment horizontal="center" vertical="center" wrapText="1"/>
    </xf>
    <xf numFmtId="0" fontId="28" fillId="15" borderId="3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bottom"/>
    </xf>
    <xf numFmtId="0" fontId="30" fillId="5" borderId="3" applyAlignment="1" pivotButton="0" quotePrefix="0" xfId="0">
      <alignment horizontal="left" vertical="center"/>
    </xf>
    <xf numFmtId="0" fontId="31" fillId="23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 vertical="bottom"/>
    </xf>
    <xf numFmtId="0" fontId="33" fillId="2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8" fillId="5" borderId="2" applyAlignment="1" pivotButton="0" quotePrefix="0" xfId="0">
      <alignment horizontal="center" vertical="center"/>
    </xf>
    <xf numFmtId="0" fontId="0" fillId="0" borderId="7" pivotButton="0" quotePrefix="0" xfId="0"/>
    <xf numFmtId="0" fontId="0" fillId="6" borderId="0" applyAlignment="1" pivotButton="0" quotePrefix="0" xfId="0">
      <alignment horizontal="general" vertical="bottom"/>
    </xf>
    <xf numFmtId="0" fontId="9" fillId="7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bottom"/>
    </xf>
    <xf numFmtId="0" fontId="13" fillId="12" borderId="0" applyAlignment="1" pivotButton="0" quotePrefix="0" xfId="0">
      <alignment horizontal="center" vertical="center"/>
    </xf>
    <xf numFmtId="0" fontId="14" fillId="11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9" fillId="13" borderId="3" applyAlignment="1" pivotButton="0" quotePrefix="0" xfId="0">
      <alignment horizontal="center" vertical="center" wrapText="1"/>
    </xf>
    <xf numFmtId="0" fontId="16" fillId="14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left" vertical="center"/>
    </xf>
    <xf numFmtId="165" fontId="0" fillId="14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center" vertical="center"/>
    </xf>
    <xf numFmtId="1" fontId="17" fillId="15" borderId="3" applyAlignment="1" pivotButton="0" quotePrefix="0" xfId="0">
      <alignment horizontal="center" vertical="center"/>
    </xf>
    <xf numFmtId="0" fontId="10" fillId="14" borderId="3" applyAlignment="1" pivotButton="0" quotePrefix="0" xfId="0">
      <alignment horizontal="left" vertical="center" wrapText="1"/>
    </xf>
    <xf numFmtId="0" fontId="18" fillId="5" borderId="3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/>
    </xf>
    <xf numFmtId="165" fontId="0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20" fillId="7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center" vertical="center"/>
    </xf>
    <xf numFmtId="164" fontId="10" fillId="5" borderId="3" applyAlignment="1" pivotButton="0" quotePrefix="0" xfId="0">
      <alignment horizontal="center" vertical="center"/>
    </xf>
    <xf numFmtId="166" fontId="10" fillId="5" borderId="3" applyAlignment="1" pivotButton="0" quotePrefix="0" xfId="0">
      <alignment horizontal="center" vertical="center"/>
    </xf>
    <xf numFmtId="1" fontId="21" fillId="5" borderId="3" applyAlignment="1" pivotButton="0" quotePrefix="0" xfId="0">
      <alignment horizontal="center" vertical="bottom"/>
    </xf>
    <xf numFmtId="0" fontId="17" fillId="14" borderId="3" applyAlignment="1" pivotButton="0" quotePrefix="0" xfId="0">
      <alignment horizontal="center" vertical="center"/>
    </xf>
    <xf numFmtId="164" fontId="10" fillId="14" borderId="3" applyAlignment="1" pivotButton="0" quotePrefix="0" xfId="0">
      <alignment horizontal="center" vertical="center"/>
    </xf>
    <xf numFmtId="166" fontId="10" fillId="14" borderId="3" applyAlignment="1" pivotButton="0" quotePrefix="0" xfId="0">
      <alignment horizontal="center" vertical="center"/>
    </xf>
    <xf numFmtId="1" fontId="21" fillId="14" borderId="3" applyAlignment="1" pivotButton="0" quotePrefix="0" xfId="0">
      <alignment horizontal="center" vertical="bottom"/>
    </xf>
    <xf numFmtId="0" fontId="20" fillId="2" borderId="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23" fillId="2" borderId="0" applyAlignment="1" pivotButton="0" quotePrefix="0" xfId="0">
      <alignment horizontal="center" vertical="center"/>
    </xf>
    <xf numFmtId="0" fontId="13" fillId="16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center" vertical="bottom"/>
    </xf>
    <xf numFmtId="0" fontId="11" fillId="18" borderId="0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 wrapText="1"/>
    </xf>
    <xf numFmtId="0" fontId="14" fillId="17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/>
    </xf>
    <xf numFmtId="0" fontId="9" fillId="17" borderId="3" applyAlignment="1" pivotButton="0" quotePrefix="0" xfId="0">
      <alignment horizontal="center" vertical="center" wrapText="1"/>
    </xf>
    <xf numFmtId="0" fontId="14" fillId="19" borderId="3" applyAlignment="1" pivotButton="0" quotePrefix="0" xfId="0">
      <alignment horizontal="center" vertical="center" wrapText="1"/>
    </xf>
    <xf numFmtId="0" fontId="17" fillId="14" borderId="3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9" fillId="21" borderId="3" applyAlignment="1" pivotButton="0" quotePrefix="0" xfId="0">
      <alignment horizontal="center" vertical="center" wrapText="1"/>
    </xf>
    <xf numFmtId="0" fontId="9" fillId="22" borderId="3" applyAlignment="1" pivotButton="0" quotePrefix="0" xfId="0">
      <alignment horizontal="center" vertical="center" wrapText="1"/>
    </xf>
    <xf numFmtId="0" fontId="9" fillId="23" borderId="3" applyAlignment="1" pivotButton="0" quotePrefix="0" xfId="0">
      <alignment horizontal="center" vertical="center" wrapText="1"/>
    </xf>
    <xf numFmtId="0" fontId="28" fillId="15" borderId="3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bottom"/>
    </xf>
    <xf numFmtId="0" fontId="30" fillId="5" borderId="3" applyAlignment="1" pivotButton="0" quotePrefix="0" xfId="0">
      <alignment horizontal="left" vertical="center"/>
    </xf>
    <xf numFmtId="0" fontId="31" fillId="23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 vertical="bottom"/>
    </xf>
    <xf numFmtId="0" fontId="33" fillId="24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right"/>
    </xf>
    <xf numFmtId="0" fontId="37" fillId="25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DD5E0"/>
          <bgColor rgb="FF000000"/>
        </patternFill>
      </fill>
    </dxf>
    <dxf>
      <fill>
        <patternFill patternType="solid">
          <fgColor rgb="FF4A4A4A"/>
          <bgColor rgb="FF000000"/>
        </patternFill>
      </fill>
    </dxf>
    <dxf>
      <fill>
        <patternFill patternType="solid">
          <fgColor rgb="FF455A6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2E5FA3"/>
          <bgColor rgb="FF000000"/>
        </patternFill>
      </fill>
    </dxf>
    <dxf>
      <fill>
        <patternFill patternType="solid">
          <fgColor rgb="FF6A6A6A"/>
          <bgColor rgb="FF000000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E3F2FD"/>
        </patternFill>
      </fill>
    </dxf>
    <dxf>
      <font>
        <b val="1"/>
        <color rgb="FFC0392B"/>
      </font>
      <fill>
        <patternFill>
          <bgColor rgb="FFFFCDD2"/>
        </patternFill>
      </fill>
    </dxf>
    <dxf>
      <fill>
        <patternFill>
          <bgColor rgb="FFFFF9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607D8B"/>
      <rgbColor rgb="FF6A1B9A"/>
      <rgbColor rgb="FF00695C"/>
      <rgbColor rgb="FFD9D9D9"/>
      <rgbColor rgb="FF878787"/>
      <rgbColor rgb="FF4A90D9"/>
      <rgbColor rgb="FFC0392B"/>
      <rgbColor rgb="FFFFF9C4"/>
      <rgbColor rgb="FFE3F2FD"/>
      <rgbColor rgb="FF4A148C"/>
      <rgbColor rgb="FFFF8080"/>
      <rgbColor rgb="FF2E5FA3"/>
      <rgbColor rgb="FFCDD5E0"/>
      <rgbColor rgb="FF000080"/>
      <rgbColor rgb="FFFF00FF"/>
      <rgbColor rgb="FFFFFF00"/>
      <rgbColor rgb="FF00FFFF"/>
      <rgbColor rgb="FF800080"/>
      <rgbColor rgb="FF800000"/>
      <rgbColor rgb="FF27AE60"/>
      <rgbColor rgb="FF0000FF"/>
      <rgbColor rgb="FF00CCFF"/>
      <rgbColor rgb="FFF5F7FA"/>
      <rgbColor rgb="FFC8E6C9"/>
      <rgbColor rgb="FFFFF8DC"/>
      <rgbColor rgb="FFF8F9FF"/>
      <rgbColor rgb="FFFFCDD2"/>
      <rgbColor rgb="FFF9F9F9"/>
      <rgbColor rgb="FFFFE0B2"/>
      <rgbColor rgb="FF4F81BD"/>
      <rgbColor rgb="FF33CCCC"/>
      <rgbColor rgb="FF99CC00"/>
      <rgbColor rgb="FFD4AF37"/>
      <rgbColor rgb="FFE67E22"/>
      <rgbColor rgb="FFE65100"/>
      <rgbColor rgb="FF6A6A6A"/>
      <rgbColor rgb="FF888888"/>
      <rgbColor rgb="FF1A237E"/>
      <rgbColor rgb="FF388E3C"/>
      <rgbColor rgb="FF1B5E20"/>
      <rgbColor rgb="FF4A4A4A"/>
      <rgbColor rgb="FFB71C1C"/>
      <rgbColor rgb="FF455A64"/>
      <rgbColor rgb="FF37474F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2e5fa3"/>
            </a:solidFill>
            <a:ln xmlns:a="http://schemas.openxmlformats.org/drawingml/2006/main" w="0">
              <a:solidFill>
                <a:srgbClr val="1b2a4a"/>
              </a:solidFill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1"/>
            <showVal val="1"/>
            <showCatName val="0"/>
            <showSerName val="0"/>
            <showPercent val="0"/>
            <showLeaderLines val="1"/>
          </dLbls>
          <cat>
            <strRef>
              <f>categories</f>
              <strCache>
                <ptCount val="10"/>
                <pt idx="0">
                  <v>Absence de CREDAPP</v>
                </pt>
                <pt idx="1">
                  <v>Absence de CREDAPP</v>
                </pt>
                <pt idx="2">
                  <v>Absence de CREDAPP</v>
                </pt>
                <pt idx="3">
                  <v>Absence de CREDAPP</v>
                </pt>
                <pt idx="4">
                  <v>Absence de CREDAPP</v>
                </pt>
                <pt idx="5">
                  <v>Absence de CREDAPP</v>
                </pt>
                <pt idx="6">
                  <v>Absence de CREDAPP</v>
                </pt>
                <pt idx="7">
                  <v>Absence de CREDAPP</v>
                </pt>
                <pt idx="8">
                  <v>Absence de CREDAPP</v>
                </pt>
                <pt idx="9">
                  <v>Absence de CREDAPP</v>
                </pt>
              </strCache>
            </strRef>
          </cat>
          <val>
            <numRef>
              <f>0</f>
              <numCache>
                <formatCode>General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gapWidth val="150"/>
        <overlap val="0"/>
        <axId val="6466014"/>
        <axId val="74450037"/>
      </barChart>
      <catAx>
        <axId val="6466014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Nombre de dossiers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4450037"/>
        <crosses val="autoZero"/>
        <auto val="1"/>
        <lblAlgn val="ctr"/>
        <lblOffset val="100"/>
        <noMultiLvlLbl val="0"/>
      </catAx>
      <valAx>
        <axId val="7445003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466014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e67e22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27ae60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4a90d9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0"/>
            <showCatName val="1"/>
            <showSerName val="1"/>
            <showPercent val="1"/>
            <showLeaderLines val="1"/>
          </dLbls>
          <cat>
            <strRef>
              <f>categories</f>
              <strCache>
                <ptCount val="3"/>
                <pt idx="0">
                  <v>En cours</v>
                </pt>
                <pt idx="1">
                  <v>Cloture</v>
                </pt>
                <pt idx="2">
                  <v>En attente</v>
                </pt>
              </strCache>
            </strRef>
          </cat>
          <val>
            <numRef>
              <f>0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strRef>
              <f>label 0</f>
              <strCache>
                <ptCount val="1"/>
                <pt idx="0">
                  <v>EN COURS</v>
                </pt>
              </strCache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categories</f>
              <strCache>
                <ptCount val="20"/>
                <pt idx="0">
                  <v>ANALYSTES (mis a jour depuis Access)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</strCache>
            </strRef>
          </cat>
          <val>
            <numRef>
              <f>0</f>
              <numCache>
                <formatCode>General</formatCode>
                <ptCount val="20"/>
                <pt idx="0">
                  <v>0</v>
                </pt>
              </numCache>
            </numRef>
          </val>
        </ser>
        <ser>
          <idx val="1"/>
          <order val="1"/>
          <tx>
            <strRef>
              <f>label 1</f>
              <strCache>
                <ptCount val="1"/>
                <pt idx="0">
                  <v>CLOTURE</v>
                </pt>
              </strCache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categories</f>
              <strCache>
                <ptCount val="20"/>
                <pt idx="0">
                  <v>ANALYSTES (mis a jour depuis Access)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</strCache>
            </strRef>
          </cat>
          <val>
            <numRef>
              <f>1</f>
              <numCache>
                <formatCode>General</formatCode>
                <ptCount val="20"/>
                <pt idx="0">
                  <v>0</v>
                </pt>
              </numCache>
            </numRef>
          </val>
        </ser>
        <ser>
          <idx val="2"/>
          <order val="2"/>
          <tx>
            <strRef>
              <f>label 2</f>
              <strCache>
                <ptCount val="1"/>
                <pt idx="0">
                  <v>EN ATTENTE</v>
                </pt>
              </strCache>
            </strRef>
          </tx>
          <spPr>
            <a:solidFill xmlns:a="http://schemas.openxmlformats.org/drawingml/2006/main">
              <a:srgbClr val="4a90d9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categories</f>
              <strCache>
                <ptCount val="20"/>
                <pt idx="0">
                  <v>ANALYSTES (mis a jour depuis Access)</v>
                </pt>
                <pt idx="1">
                  <v>None</v>
                </pt>
                <pt idx="2">
                  <v>None</v>
                </pt>
                <pt idx="3">
                  <v>None</v>
                </pt>
                <pt idx="4">
                  <v>None</v>
                </pt>
                <pt idx="5">
                  <v>None</v>
                </pt>
                <pt idx="6">
                  <v>None</v>
                </pt>
                <pt idx="7">
                  <v>None</v>
                </pt>
                <pt idx="8">
                  <v>None</v>
                </pt>
                <pt idx="9">
                  <v>None</v>
                </pt>
                <pt idx="10">
                  <v>None</v>
                </pt>
                <pt idx="11">
                  <v>None</v>
                </pt>
                <pt idx="12">
                  <v>None</v>
                </pt>
                <pt idx="13">
                  <v>None</v>
                </pt>
                <pt idx="14">
                  <v>None</v>
                </pt>
                <pt idx="15">
                  <v>None</v>
                </pt>
                <pt idx="16">
                  <v>None</v>
                </pt>
                <pt idx="17">
                  <v>None</v>
                </pt>
                <pt idx="18">
                  <v>None</v>
                </pt>
                <pt idx="19">
                  <v>None</v>
                </pt>
              </strCache>
            </strRef>
          </cat>
          <val>
            <numRef>
              <f>2</f>
              <numCache>
                <formatCode>General</formatCode>
                <ptCount val="20"/>
                <pt idx="0">
                  <v>0</v>
                </pt>
              </numCache>
            </numRef>
          </val>
        </ser>
        <gapWidth val="150"/>
        <overlap val="0"/>
        <axId val="35624858"/>
        <axId val="18920721"/>
      </barChart>
      <catAx>
        <axId val="3562485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8920721"/>
        <crosses val="autoZero"/>
        <auto val="1"/>
        <lblAlgn val="ctr"/>
        <lblOffset val="100"/>
        <noMultiLvlLbl val="0"/>
      </catAx>
      <valAx>
        <axId val="1892072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Dossiers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562485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20</col>
      <colOff>127440</colOff>
      <row>26</row>
      <rowOff>172080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15</col>
      <colOff>0</colOff>
      <row>3</row>
      <rowOff>0</rowOff>
    </from>
    <to>
      <col>30</col>
      <colOff>275040</colOff>
      <row>26</row>
      <rowOff>172080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23</row>
      <rowOff>0</rowOff>
    </from>
    <to>
      <col>20</col>
      <colOff>127440</colOff>
      <row>47</row>
      <rowOff>48240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Suspens" displayName="TBL_Suspens" ref="A2:P202" headerRowCount="1" totalsRowCount="0" totalsRowShown="0">
  <autoFilter ref="A2:P202"/>
  <tableColumns count="16">
    <tableColumn id="1" name="N°"/>
    <tableColumn id="2" name="IDSG_x000a_(Access)"/>
    <tableColumn id="3" name="RCT"/>
    <tableColumn id="4" name="CLIENT"/>
    <tableColumn id="5" name="ANALYSTE_x000a_(Access)"/>
    <tableColumn id="6" name="ETAT_x000a_(Access)"/>
    <tableColumn id="7" name="DATE_x000a_RECEPTION"/>
    <tableColumn id="8" name="STATUT_x000a_SUIVI"/>
    <tableColumn id="9" name="DUREE_x000a_(jours)"/>
    <tableColumn id="10" name="RAISON_x000a_PRINCIPALE"/>
    <tableColumn id="11" name="RAISON 2"/>
    <tableColumn id="12" name="RAISON 3"/>
    <tableColumn id="13" name="COMMENTAIRES DRC"/>
    <tableColumn id="14" name="DEMANDE_x000a_(Access)"/>
    <tableColumn id="15" name="MOIS"/>
    <tableColumn id="16" name="ANNE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607D8B"/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84" min="1" max="1"/>
    <col width="50" customWidth="1" style="84" min="2" max="2"/>
  </cols>
  <sheetData>
    <row r="1" ht="15" customHeight="1" s="85">
      <c r="A1" s="86" t="inlineStr">
        <is>
          <t>Chemin Access</t>
        </is>
      </c>
      <c r="B1" s="84" t="inlineStr">
        <is>
          <t>S:\DRR_NOTIFICATION_DE_CREDIT\DEAL FLOW\OUTIL_DEAL_FLOW.accdb</t>
        </is>
      </c>
    </row>
    <row r="2" ht="15" customHeight="1" s="85">
      <c r="A2" s="86" t="inlineStr">
        <is>
          <t>Feuille mise a jour</t>
        </is>
      </c>
    </row>
    <row r="3" ht="15" customHeight="1" s="85">
      <c r="A3" s="86" t="inlineStr">
        <is>
          <t>Derniere connexion</t>
        </is>
      </c>
    </row>
    <row r="4" ht="15" customHeight="1" s="85">
      <c r="A4" s="86" t="inlineStr">
        <is>
          <t>Statut</t>
        </is>
      </c>
      <c r="B4" s="84" t="inlineStr">
        <is>
          <t>Non connecte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B1:K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84" min="1" max="1"/>
    <col width="15" customWidth="1" style="84" min="2" max="11"/>
  </cols>
  <sheetData>
    <row r="1" ht="7.5" customHeight="1" s="85">
      <c r="B1" s="84" t="n"/>
    </row>
    <row r="2" ht="64.5" customHeight="1" s="85">
      <c r="B2" s="87" t="inlineStr">
        <is>
          <t>SUIVI DES SUSPENS  |  SGCI / DRC</t>
        </is>
      </c>
    </row>
    <row r="3" ht="25.5" customHeight="1" s="85">
      <c r="B3" s="88" t="inlineStr">
        <is>
          <t>Connecte a la base Access  |  Actualisation automatique</t>
        </is>
      </c>
    </row>
    <row r="4" ht="4.5" customHeight="1" s="85">
      <c r="B4" s="89" t="n"/>
    </row>
    <row r="5" ht="9.75" customHeight="1" s="85"/>
    <row r="6" ht="42" customHeight="1" s="85">
      <c r="B6" s="90" t="inlineStr">
        <is>
          <t>&gt;&gt;  ACTUALISER DEPUIS ACCESS  &lt;&lt;</t>
        </is>
      </c>
      <c r="C6" s="91" t="n"/>
      <c r="D6" s="91" t="n"/>
      <c r="E6" s="91" t="n"/>
      <c r="F6" s="91" t="n"/>
      <c r="G6" s="92">
        <f>CONFIG!B4</f>
        <v/>
      </c>
      <c r="H6" s="93" t="n"/>
      <c r="I6" s="93" t="n"/>
      <c r="J6" s="93" t="n"/>
      <c r="K6" s="93" t="n"/>
    </row>
    <row r="7" ht="7.5" customHeight="1" s="85">
      <c r="B7" s="94" t="n"/>
    </row>
    <row r="8" ht="24" customHeight="1" s="85">
      <c r="B8" s="95" t="inlineStr">
        <is>
          <t>INDICATEURS CLES  (mis a jour automatiquement)</t>
        </is>
      </c>
      <c r="C8" s="93" t="n"/>
      <c r="D8" s="93" t="n"/>
      <c r="E8" s="93" t="n"/>
      <c r="F8" s="93" t="n"/>
      <c r="G8" s="93" t="n"/>
      <c r="H8" s="93" t="n"/>
      <c r="I8" s="93" t="n"/>
      <c r="J8" s="93" t="n"/>
      <c r="K8" s="93" t="n"/>
    </row>
    <row r="9" ht="31.5" customHeight="1" s="85">
      <c r="B9" s="96" t="inlineStr">
        <is>
          <t>Dossiers en suspens (Access)</t>
        </is>
      </c>
      <c r="C9" s="93" t="n"/>
      <c r="D9" s="93" t="n"/>
      <c r="E9" s="93" t="n"/>
      <c r="F9" s="93" t="n"/>
      <c r="G9" s="93" t="n"/>
      <c r="H9" s="93" t="n"/>
      <c r="I9" s="97">
        <f>COUNTIF('📋 Suspens'!H:H,"En cours")</f>
        <v/>
      </c>
      <c r="J9" s="93" t="n"/>
      <c r="K9" s="93" t="n"/>
    </row>
    <row r="10" ht="31.5" customHeight="1" s="85">
      <c r="B10" s="96" t="inlineStr">
        <is>
          <t>Clotures ce mois</t>
        </is>
      </c>
      <c r="C10" s="93" t="n"/>
      <c r="D10" s="93" t="n"/>
      <c r="E10" s="93" t="n"/>
      <c r="F10" s="93" t="n"/>
      <c r="G10" s="93" t="n"/>
      <c r="H10" s="93" t="n"/>
      <c r="I10" s="98">
        <f>COUNTIFS('📋 Suspens'!H:H,"Cloture",'📋 Suspens'!O:O,TEXT(TODAY(),"MMMM YYYY"))</f>
        <v/>
      </c>
      <c r="J10" s="93" t="n"/>
      <c r="K10" s="93" t="n"/>
    </row>
    <row r="11" ht="31.5" customHeight="1" s="85">
      <c r="B11" s="96" t="inlineStr">
        <is>
          <t>En cours depuis plus de 30 jours</t>
        </is>
      </c>
      <c r="C11" s="93" t="n"/>
      <c r="D11" s="93" t="n"/>
      <c r="E11" s="93" t="n"/>
      <c r="F11" s="93" t="n"/>
      <c r="G11" s="93" t="n"/>
      <c r="H11" s="93" t="n"/>
      <c r="I11" s="99">
        <f>COUNTIFS('📋 Suspens'!H:H,"En cours",'📋 Suspens'!I:I,"&lt;="&amp;TODAY()-30)</f>
        <v/>
      </c>
      <c r="J11" s="93" t="n"/>
      <c r="K11" s="93" t="n"/>
    </row>
    <row r="12" ht="31.5" customHeight="1" s="85">
      <c r="B12" s="96" t="inlineStr">
        <is>
          <t>Nouveaux ce mois</t>
        </is>
      </c>
      <c r="C12" s="93" t="n"/>
      <c r="D12" s="93" t="n"/>
      <c r="E12" s="93" t="n"/>
      <c r="F12" s="93" t="n"/>
      <c r="G12" s="93" t="n"/>
      <c r="H12" s="93" t="n"/>
      <c r="I12" s="100">
        <f>COUNTIFS('📋 Suspens'!O:O,TEXT(TODAY(),"MMMM YYYY"),'📋 Suspens'!H:H,"En cours")</f>
        <v/>
      </c>
      <c r="J12" s="93" t="n"/>
      <c r="K12" s="93" t="n"/>
    </row>
    <row r="13" ht="31.5" customHeight="1" s="85">
      <c r="B13" s="96" t="inlineStr">
        <is>
          <t>Duree moyenne en cours (jours)</t>
        </is>
      </c>
      <c r="C13" s="93" t="n"/>
      <c r="D13" s="93" t="n"/>
      <c r="E13" s="93" t="n"/>
      <c r="F13" s="93" t="n"/>
      <c r="G13" s="93" t="n"/>
      <c r="H13" s="93" t="n"/>
      <c r="I13" s="101">
        <f>IFERROR(AVERAGEIF('📋 Suspens'!H:H,"En cours",'📋 Suspens'!I:I),"-")</f>
        <v/>
      </c>
      <c r="J13" s="93" t="n"/>
      <c r="K13" s="93" t="n"/>
    </row>
    <row r="14" ht="31.5" customHeight="1" s="85">
      <c r="B14" s="96" t="inlineStr">
        <is>
          <t>Total dossiers importes depuis Access</t>
        </is>
      </c>
      <c r="C14" s="93" t="n"/>
      <c r="D14" s="93" t="n"/>
      <c r="E14" s="93" t="n"/>
      <c r="F14" s="93" t="n"/>
      <c r="G14" s="93" t="n"/>
      <c r="H14" s="93" t="n"/>
      <c r="I14" s="102">
        <f>COUNTA('📥 Donnees Access'!A:A)-2</f>
        <v/>
      </c>
      <c r="J14" s="93" t="n"/>
      <c r="K14" s="93" t="n"/>
    </row>
    <row r="15" ht="12" customHeight="1" s="85"/>
    <row r="16" ht="15" customHeight="1" s="85">
      <c r="B16" s="103">
        <f>IFERROR("Derniere actualisation : "&amp;TEXT(CONFIG!C3,"DD/MM/YYYY HH:MM"),"Non actualise")</f>
        <v/>
      </c>
    </row>
  </sheetData>
  <mergeCells count="21">
    <mergeCell ref="B9:H9"/>
    <mergeCell ref="I12:K12"/>
    <mergeCell ref="B4:K4"/>
    <mergeCell ref="I14:K14"/>
    <mergeCell ref="B7:K7"/>
    <mergeCell ref="B16:K16"/>
    <mergeCell ref="G6:K6"/>
    <mergeCell ref="B3:K3"/>
    <mergeCell ref="I10:K10"/>
    <mergeCell ref="I13:K13"/>
    <mergeCell ref="I9:K9"/>
    <mergeCell ref="B12:H12"/>
    <mergeCell ref="B2:K2"/>
    <mergeCell ref="B11:H11"/>
    <mergeCell ref="I11:K11"/>
    <mergeCell ref="B14:H14"/>
    <mergeCell ref="B1:K1"/>
    <mergeCell ref="B6:F6"/>
    <mergeCell ref="B8:K8"/>
    <mergeCell ref="B13:H13"/>
    <mergeCell ref="B10:H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55A64"/>
    <outlinePr summaryBelow="1" summaryRight="1"/>
    <pageSetUpPr fitToPage="0"/>
  </sheetPr>
  <dimension ref="A1:W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84" min="1" max="2"/>
    <col width="30" customWidth="1" style="84" min="3" max="3"/>
    <col width="22" customWidth="1" style="84" min="4" max="4"/>
    <col width="16" customWidth="1" style="84" min="5" max="5"/>
    <col width="20" customWidth="1" style="84" min="6" max="6"/>
    <col width="14" customWidth="1" style="84" min="7" max="11"/>
    <col width="12" customWidth="1" style="84" min="12" max="12"/>
    <col width="14" customWidth="1" style="84" min="13" max="16"/>
    <col width="18" customWidth="1" style="84" min="17" max="17"/>
    <col width="8" customWidth="1" style="84" min="18" max="18"/>
    <col width="10" customWidth="1" style="84" min="19" max="19"/>
    <col width="14" customWidth="1" style="84" min="20" max="20"/>
    <col width="18" customWidth="1" style="84" min="21" max="21"/>
    <col width="14" customWidth="1" style="84" min="22" max="22"/>
    <col width="12" customWidth="1" style="84" min="23" max="23"/>
  </cols>
  <sheetData>
    <row r="1" ht="31.5" customHeight="1" s="85">
      <c r="A1" s="104" t="inlineStr">
        <is>
          <t>DONNEES IMPORTEES DEPUIS ACCESS  |  Table [DATABASE]  -  Suspens en cours et passes</t>
        </is>
      </c>
    </row>
    <row r="2" ht="39.75" customHeight="1" s="85">
      <c r="A2" s="105" t="inlineStr">
        <is>
          <t>IDSG</t>
        </is>
      </c>
      <c r="B2" s="105" t="inlineStr">
        <is>
          <t>RCT</t>
        </is>
      </c>
      <c r="C2" s="105" t="inlineStr">
        <is>
          <t>CLIENT</t>
        </is>
      </c>
      <c r="D2" s="105" t="inlineStr">
        <is>
          <t>ETAT
(Access)</t>
        </is>
      </c>
      <c r="E2" s="105" t="inlineStr">
        <is>
          <t>ANALYSTE</t>
        </is>
      </c>
      <c r="F2" s="105" t="inlineStr">
        <is>
          <t>DEMANDE</t>
        </is>
      </c>
      <c r="G2" s="105" t="inlineStr">
        <is>
          <t>RECEPTION
(date)</t>
        </is>
      </c>
      <c r="H2" s="105" t="inlineStr">
        <is>
          <t>ENVOIE
1 MARCHE</t>
        </is>
      </c>
      <c r="I2" s="105" t="inlineStr">
        <is>
          <t>RETOUR
1 MARCHE</t>
        </is>
      </c>
      <c r="J2" s="105" t="inlineStr">
        <is>
          <t>ENVOIE
2 MARCHE</t>
        </is>
      </c>
      <c r="K2" s="105" t="inlineStr">
        <is>
          <t>RETOUR
2 MARCHE</t>
        </is>
      </c>
      <c r="L2" s="105" t="inlineStr">
        <is>
          <t>AUTRES J
MARCHE</t>
        </is>
      </c>
      <c r="M2" s="105" t="inlineStr">
        <is>
          <t>ENVOIE MARCHE 1</t>
        </is>
      </c>
      <c r="N2" s="105" t="inlineStr">
        <is>
          <t>RETOUR MARCHE 1</t>
        </is>
      </c>
      <c r="O2" s="105" t="inlineStr">
        <is>
          <t>ENVOIE MARCHE 2</t>
        </is>
      </c>
      <c r="P2" s="105" t="inlineStr">
        <is>
          <t>RETOUR MARCHE 2</t>
        </is>
      </c>
      <c r="Q2" s="105" t="inlineStr">
        <is>
          <t>SECTEUR</t>
        </is>
      </c>
      <c r="R2" s="105" t="inlineStr">
        <is>
          <t>NOTE</t>
        </is>
      </c>
      <c r="S2" s="105" t="inlineStr">
        <is>
          <t>LAD</t>
        </is>
      </c>
      <c r="T2" s="105" t="inlineStr">
        <is>
          <t>MXOF</t>
        </is>
      </c>
      <c r="U2" s="105" t="inlineStr">
        <is>
          <t>DECISION</t>
        </is>
      </c>
      <c r="V2" s="105" t="inlineStr">
        <is>
          <t>DELAI ANALYSTE</t>
        </is>
      </c>
      <c r="W2" s="105" t="inlineStr">
        <is>
          <t>DELAI TOTAL</t>
        </is>
      </c>
    </row>
    <row r="3" ht="21.75" customHeight="1" s="85">
      <c r="A3" s="106" t="inlineStr">
        <is>
          <t xml:space="preserve">  Cliquer sur le bouton ACTUALISER dans l onglet Accueil pour importer les donnees Access</t>
        </is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5FA3"/>
    <outlinePr summaryBelow="1" summaryRight="1"/>
    <pageSetUpPr fitToPage="0"/>
  </sheetPr>
  <dimension ref="A1:P2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84" min="1" max="1"/>
    <col width="13" customWidth="1" style="84" min="2" max="2"/>
    <col width="12" customWidth="1" style="84" min="3" max="3"/>
    <col width="30" customWidth="1" style="84" min="4" max="4"/>
    <col width="16" customWidth="1" style="84" min="5" max="5"/>
    <col width="22" customWidth="1" style="84" min="6" max="6"/>
    <col width="14" customWidth="1" style="84" min="7" max="8"/>
    <col width="10" customWidth="1" style="84" min="9" max="9"/>
    <col width="26" customWidth="1" style="84" min="10" max="12"/>
    <col width="40" customWidth="1" style="84" min="13" max="13"/>
    <col width="20" customWidth="1" style="84" min="14" max="14"/>
    <col width="16" customWidth="1" style="84" min="15" max="15"/>
    <col width="10" customWidth="1" style="84" min="16" max="16"/>
  </cols>
  <sheetData>
    <row r="1" ht="34.5" customHeight="1" s="85">
      <c r="A1" s="107" t="inlineStr">
        <is>
          <t>SUIVI DES SUSPENS  |  SGCI  (alimente depuis Access)</t>
        </is>
      </c>
    </row>
    <row r="2" ht="42" customHeight="1" s="85">
      <c r="A2" s="108" t="inlineStr">
        <is>
          <t>N°</t>
        </is>
      </c>
      <c r="B2" s="108" t="inlineStr">
        <is>
          <t>IDSG
(Access)</t>
        </is>
      </c>
      <c r="C2" s="108" t="inlineStr">
        <is>
          <t>RCT</t>
        </is>
      </c>
      <c r="D2" s="108" t="inlineStr">
        <is>
          <t>CLIENT</t>
        </is>
      </c>
      <c r="E2" s="109" t="inlineStr">
        <is>
          <t>ANALYSTE
(Access)</t>
        </is>
      </c>
      <c r="F2" s="109" t="inlineStr">
        <is>
          <t>ETAT
(Access)</t>
        </is>
      </c>
      <c r="G2" s="108" t="inlineStr">
        <is>
          <t>DATE
RECEPTION</t>
        </is>
      </c>
      <c r="H2" s="108" t="inlineStr">
        <is>
          <t>STATUT
SUIVI</t>
        </is>
      </c>
      <c r="I2" s="108" t="inlineStr">
        <is>
          <t>DUREE
(jours)</t>
        </is>
      </c>
      <c r="J2" s="110" t="inlineStr">
        <is>
          <t>RAISON
PRINCIPALE</t>
        </is>
      </c>
      <c r="K2" s="110" t="inlineStr">
        <is>
          <t>RAISON 2</t>
        </is>
      </c>
      <c r="L2" s="110" t="inlineStr">
        <is>
          <t>RAISON 3</t>
        </is>
      </c>
      <c r="M2" s="108" t="inlineStr">
        <is>
          <t>COMMENTAIRES DRC</t>
        </is>
      </c>
      <c r="N2" s="109" t="inlineStr">
        <is>
          <t>DEMANDE
(Access)</t>
        </is>
      </c>
      <c r="O2" s="111" t="inlineStr">
        <is>
          <t>MOIS</t>
        </is>
      </c>
      <c r="P2" s="111" t="inlineStr">
        <is>
          <t>ANNEE</t>
        </is>
      </c>
    </row>
    <row r="3" ht="21.75" customHeight="1" s="85">
      <c r="A3" s="112">
        <f>IF(B3&lt;&gt;"",ROW()-2,"")</f>
        <v/>
      </c>
      <c r="B3" s="113" t="n"/>
      <c r="C3" s="113" t="n"/>
      <c r="D3" s="113" t="n"/>
      <c r="E3" s="113" t="n"/>
      <c r="F3" s="113" t="n"/>
      <c r="G3" s="114" t="n"/>
      <c r="H3" s="115" t="n"/>
      <c r="I3" s="116">
        <f>IF(AND(G3&lt;&gt;"",H3="En cours"),TODAY()-G3,IF(AND(G3&lt;&gt;"",H3="Cloture"),TODAY()-G3,""))</f>
        <v/>
      </c>
      <c r="J3" s="113" t="n"/>
      <c r="K3" s="113" t="n"/>
      <c r="L3" s="113" t="n"/>
      <c r="M3" s="117" t="n"/>
      <c r="N3" s="115" t="n"/>
      <c r="O3" s="118">
        <f>IF(G3&lt;&gt;"",TEXT(G3,"MMMM YYYY"),"")</f>
        <v/>
      </c>
      <c r="P3" s="118">
        <f>IF(G3&lt;&gt;"",YEAR(G3),"")</f>
        <v/>
      </c>
    </row>
    <row r="4" ht="21.75" customHeight="1" s="85">
      <c r="A4" s="119">
        <f>IF(B4&lt;&gt;"",ROW()-2,"")</f>
        <v/>
      </c>
      <c r="B4" s="120" t="n"/>
      <c r="C4" s="120" t="n"/>
      <c r="D4" s="120" t="n"/>
      <c r="E4" s="120" t="n"/>
      <c r="F4" s="120" t="n"/>
      <c r="G4" s="121" t="n"/>
      <c r="H4" s="122" t="n"/>
      <c r="I4" s="116">
        <f>IF(AND(G4&lt;&gt;"",H4="En cours"),TODAY()-G4,IF(AND(G4&lt;&gt;"",H4="Cloture"),TODAY()-G4,""))</f>
        <v/>
      </c>
      <c r="J4" s="120" t="n"/>
      <c r="K4" s="120" t="n"/>
      <c r="L4" s="120" t="n"/>
      <c r="M4" s="123" t="n"/>
      <c r="N4" s="122" t="n"/>
      <c r="O4" s="118">
        <f>IF(G4&lt;&gt;"",TEXT(G4,"MMMM YYYY"),"")</f>
        <v/>
      </c>
      <c r="P4" s="118">
        <f>IF(G4&lt;&gt;"",YEAR(G4),"")</f>
        <v/>
      </c>
    </row>
    <row r="5" ht="21.75" customHeight="1" s="85">
      <c r="A5" s="112">
        <f>IF(B5&lt;&gt;"",ROW()-2,"")</f>
        <v/>
      </c>
      <c r="B5" s="113" t="n"/>
      <c r="C5" s="113" t="n"/>
      <c r="D5" s="113" t="n"/>
      <c r="E5" s="113" t="n"/>
      <c r="F5" s="113" t="n"/>
      <c r="G5" s="114" t="n"/>
      <c r="H5" s="115" t="n"/>
      <c r="I5" s="116">
        <f>IF(AND(G5&lt;&gt;"",H5="En cours"),TODAY()-G5,IF(AND(G5&lt;&gt;"",H5="Cloture"),TODAY()-G5,""))</f>
        <v/>
      </c>
      <c r="J5" s="113" t="n"/>
      <c r="K5" s="113" t="n"/>
      <c r="L5" s="113" t="n"/>
      <c r="M5" s="117" t="n"/>
      <c r="N5" s="115" t="n"/>
      <c r="O5" s="118">
        <f>IF(G5&lt;&gt;"",TEXT(G5,"MMMM YYYY"),"")</f>
        <v/>
      </c>
      <c r="P5" s="118">
        <f>IF(G5&lt;&gt;"",YEAR(G5),"")</f>
        <v/>
      </c>
    </row>
    <row r="6" ht="21.75" customHeight="1" s="85">
      <c r="A6" s="119">
        <f>IF(B6&lt;&gt;"",ROW()-2,"")</f>
        <v/>
      </c>
      <c r="B6" s="120" t="n"/>
      <c r="C6" s="120" t="n"/>
      <c r="D6" s="120" t="n"/>
      <c r="E6" s="120" t="n"/>
      <c r="F6" s="120" t="n"/>
      <c r="G6" s="121" t="n"/>
      <c r="H6" s="122" t="n"/>
      <c r="I6" s="116">
        <f>IF(AND(G6&lt;&gt;"",H6="En cours"),TODAY()-G6,IF(AND(G6&lt;&gt;"",H6="Cloture"),TODAY()-G6,""))</f>
        <v/>
      </c>
      <c r="J6" s="120" t="n"/>
      <c r="K6" s="120" t="n"/>
      <c r="L6" s="120" t="n"/>
      <c r="M6" s="123" t="n"/>
      <c r="N6" s="122" t="n"/>
      <c r="O6" s="118">
        <f>IF(G6&lt;&gt;"",TEXT(G6,"MMMM YYYY"),"")</f>
        <v/>
      </c>
      <c r="P6" s="118">
        <f>IF(G6&lt;&gt;"",YEAR(G6),"")</f>
        <v/>
      </c>
    </row>
    <row r="7" ht="21.75" customHeight="1" s="85">
      <c r="A7" s="112">
        <f>IF(B7&lt;&gt;"",ROW()-2,"")</f>
        <v/>
      </c>
      <c r="B7" s="113" t="n"/>
      <c r="C7" s="113" t="n"/>
      <c r="D7" s="113" t="n"/>
      <c r="E7" s="113" t="n"/>
      <c r="F7" s="113" t="n"/>
      <c r="G7" s="114" t="n"/>
      <c r="H7" s="115" t="n"/>
      <c r="I7" s="116">
        <f>IF(AND(G7&lt;&gt;"",H7="En cours"),TODAY()-G7,IF(AND(G7&lt;&gt;"",H7="Cloture"),TODAY()-G7,""))</f>
        <v/>
      </c>
      <c r="J7" s="113" t="n"/>
      <c r="K7" s="113" t="n"/>
      <c r="L7" s="113" t="n"/>
      <c r="M7" s="117" t="n"/>
      <c r="N7" s="115" t="n"/>
      <c r="O7" s="118">
        <f>IF(G7&lt;&gt;"",TEXT(G7,"MMMM YYYY"),"")</f>
        <v/>
      </c>
      <c r="P7" s="118">
        <f>IF(G7&lt;&gt;"",YEAR(G7),"")</f>
        <v/>
      </c>
    </row>
    <row r="8" ht="21.75" customHeight="1" s="85">
      <c r="A8" s="119">
        <f>IF(B8&lt;&gt;"",ROW()-2,"")</f>
        <v/>
      </c>
      <c r="B8" s="120" t="n"/>
      <c r="C8" s="120" t="n"/>
      <c r="D8" s="120" t="n"/>
      <c r="E8" s="120" t="n"/>
      <c r="F8" s="120" t="n"/>
      <c r="G8" s="121" t="n"/>
      <c r="H8" s="122" t="n"/>
      <c r="I8" s="116">
        <f>IF(AND(G8&lt;&gt;"",H8="En cours"),TODAY()-G8,IF(AND(G8&lt;&gt;"",H8="Cloture"),TODAY()-G8,""))</f>
        <v/>
      </c>
      <c r="J8" s="120" t="n"/>
      <c r="K8" s="120" t="n"/>
      <c r="L8" s="120" t="n"/>
      <c r="M8" s="123" t="n"/>
      <c r="N8" s="122" t="n"/>
      <c r="O8" s="118">
        <f>IF(G8&lt;&gt;"",TEXT(G8,"MMMM YYYY"),"")</f>
        <v/>
      </c>
      <c r="P8" s="118">
        <f>IF(G8&lt;&gt;"",YEAR(G8),"")</f>
        <v/>
      </c>
    </row>
    <row r="9" ht="21.75" customHeight="1" s="85">
      <c r="A9" s="112">
        <f>IF(B9&lt;&gt;"",ROW()-2,"")</f>
        <v/>
      </c>
      <c r="B9" s="113" t="n"/>
      <c r="C9" s="113" t="n"/>
      <c r="D9" s="113" t="n"/>
      <c r="E9" s="113" t="n"/>
      <c r="F9" s="113" t="n"/>
      <c r="G9" s="114" t="n"/>
      <c r="H9" s="115" t="n"/>
      <c r="I9" s="116">
        <f>IF(AND(G9&lt;&gt;"",H9="En cours"),TODAY()-G9,IF(AND(G9&lt;&gt;"",H9="Cloture"),TODAY()-G9,""))</f>
        <v/>
      </c>
      <c r="J9" s="113" t="n"/>
      <c r="K9" s="113" t="n"/>
      <c r="L9" s="113" t="n"/>
      <c r="M9" s="117" t="n"/>
      <c r="N9" s="115" t="n"/>
      <c r="O9" s="118">
        <f>IF(G9&lt;&gt;"",TEXT(G9,"MMMM YYYY"),"")</f>
        <v/>
      </c>
      <c r="P9" s="118">
        <f>IF(G9&lt;&gt;"",YEAR(G9),"")</f>
        <v/>
      </c>
    </row>
    <row r="10" ht="21.75" customHeight="1" s="85">
      <c r="A10" s="119">
        <f>IF(B10&lt;&gt;"",ROW()-2,"")</f>
        <v/>
      </c>
      <c r="B10" s="120" t="n"/>
      <c r="C10" s="120" t="n"/>
      <c r="D10" s="120" t="n"/>
      <c r="E10" s="120" t="n"/>
      <c r="F10" s="120" t="n"/>
      <c r="G10" s="121" t="n"/>
      <c r="H10" s="122" t="n"/>
      <c r="I10" s="116">
        <f>IF(AND(G10&lt;&gt;"",H10="En cours"),TODAY()-G10,IF(AND(G10&lt;&gt;"",H10="Cloture"),TODAY()-G10,""))</f>
        <v/>
      </c>
      <c r="J10" s="120" t="n"/>
      <c r="K10" s="120" t="n"/>
      <c r="L10" s="120" t="n"/>
      <c r="M10" s="123" t="n"/>
      <c r="N10" s="122" t="n"/>
      <c r="O10" s="118">
        <f>IF(G10&lt;&gt;"",TEXT(G10,"MMMM YYYY"),"")</f>
        <v/>
      </c>
      <c r="P10" s="118">
        <f>IF(G10&lt;&gt;"",YEAR(G10),"")</f>
        <v/>
      </c>
    </row>
    <row r="11" ht="21.75" customHeight="1" s="85">
      <c r="A11" s="112">
        <f>IF(B11&lt;&gt;"",ROW()-2,"")</f>
        <v/>
      </c>
      <c r="B11" s="113" t="n"/>
      <c r="C11" s="113" t="n"/>
      <c r="D11" s="113" t="n"/>
      <c r="E11" s="113" t="n"/>
      <c r="F11" s="113" t="n"/>
      <c r="G11" s="114" t="n"/>
      <c r="H11" s="115" t="n"/>
      <c r="I11" s="116">
        <f>IF(AND(G11&lt;&gt;"",H11="En cours"),TODAY()-G11,IF(AND(G11&lt;&gt;"",H11="Cloture"),TODAY()-G11,""))</f>
        <v/>
      </c>
      <c r="J11" s="113" t="n"/>
      <c r="K11" s="113" t="n"/>
      <c r="L11" s="113" t="n"/>
      <c r="M11" s="117" t="n"/>
      <c r="N11" s="115" t="n"/>
      <c r="O11" s="118">
        <f>IF(G11&lt;&gt;"",TEXT(G11,"MMMM YYYY"),"")</f>
        <v/>
      </c>
      <c r="P11" s="118">
        <f>IF(G11&lt;&gt;"",YEAR(G11),"")</f>
        <v/>
      </c>
    </row>
    <row r="12" ht="21.75" customHeight="1" s="85">
      <c r="A12" s="119">
        <f>IF(B12&lt;&gt;"",ROW()-2,"")</f>
        <v/>
      </c>
      <c r="B12" s="120" t="n"/>
      <c r="C12" s="120" t="n"/>
      <c r="D12" s="120" t="n"/>
      <c r="E12" s="120" t="n"/>
      <c r="F12" s="120" t="n"/>
      <c r="G12" s="121" t="n"/>
      <c r="H12" s="122" t="n"/>
      <c r="I12" s="116">
        <f>IF(AND(G12&lt;&gt;"",H12="En cours"),TODAY()-G12,IF(AND(G12&lt;&gt;"",H12="Cloture"),TODAY()-G12,""))</f>
        <v/>
      </c>
      <c r="J12" s="120" t="n"/>
      <c r="K12" s="120" t="n"/>
      <c r="L12" s="120" t="n"/>
      <c r="M12" s="123" t="n"/>
      <c r="N12" s="122" t="n"/>
      <c r="O12" s="118">
        <f>IF(G12&lt;&gt;"",TEXT(G12,"MMMM YYYY"),"")</f>
        <v/>
      </c>
      <c r="P12" s="118">
        <f>IF(G12&lt;&gt;"",YEAR(G12),"")</f>
        <v/>
      </c>
    </row>
    <row r="13" ht="21.75" customHeight="1" s="85">
      <c r="A13" s="112">
        <f>IF(B13&lt;&gt;"",ROW()-2,"")</f>
        <v/>
      </c>
      <c r="B13" s="113" t="n"/>
      <c r="C13" s="113" t="n"/>
      <c r="D13" s="113" t="n"/>
      <c r="E13" s="113" t="n"/>
      <c r="F13" s="113" t="n"/>
      <c r="G13" s="114" t="n"/>
      <c r="H13" s="115" t="n"/>
      <c r="I13" s="116">
        <f>IF(AND(G13&lt;&gt;"",H13="En cours"),TODAY()-G13,IF(AND(G13&lt;&gt;"",H13="Cloture"),TODAY()-G13,""))</f>
        <v/>
      </c>
      <c r="J13" s="113" t="n"/>
      <c r="K13" s="113" t="n"/>
      <c r="L13" s="113" t="n"/>
      <c r="M13" s="117" t="n"/>
      <c r="N13" s="115" t="n"/>
      <c r="O13" s="118">
        <f>IF(G13&lt;&gt;"",TEXT(G13,"MMMM YYYY"),"")</f>
        <v/>
      </c>
      <c r="P13" s="118">
        <f>IF(G13&lt;&gt;"",YEAR(G13),"")</f>
        <v/>
      </c>
    </row>
    <row r="14" ht="21.75" customHeight="1" s="85">
      <c r="A14" s="119">
        <f>IF(B14&lt;&gt;"",ROW()-2,"")</f>
        <v/>
      </c>
      <c r="B14" s="120" t="n"/>
      <c r="C14" s="120" t="n"/>
      <c r="D14" s="120" t="n"/>
      <c r="E14" s="120" t="n"/>
      <c r="F14" s="120" t="n"/>
      <c r="G14" s="121" t="n"/>
      <c r="H14" s="122" t="n"/>
      <c r="I14" s="116">
        <f>IF(AND(G14&lt;&gt;"",H14="En cours"),TODAY()-G14,IF(AND(G14&lt;&gt;"",H14="Cloture"),TODAY()-G14,""))</f>
        <v/>
      </c>
      <c r="J14" s="120" t="n"/>
      <c r="K14" s="120" t="n"/>
      <c r="L14" s="120" t="n"/>
      <c r="M14" s="123" t="n"/>
      <c r="N14" s="122" t="n"/>
      <c r="O14" s="118">
        <f>IF(G14&lt;&gt;"",TEXT(G14,"MMMM YYYY"),"")</f>
        <v/>
      </c>
      <c r="P14" s="118">
        <f>IF(G14&lt;&gt;"",YEAR(G14),"")</f>
        <v/>
      </c>
    </row>
    <row r="15" ht="21.75" customHeight="1" s="85">
      <c r="A15" s="112">
        <f>IF(B15&lt;&gt;"",ROW()-2,"")</f>
        <v/>
      </c>
      <c r="B15" s="113" t="n"/>
      <c r="C15" s="113" t="n"/>
      <c r="D15" s="113" t="n"/>
      <c r="E15" s="113" t="n"/>
      <c r="F15" s="113" t="n"/>
      <c r="G15" s="114" t="n"/>
      <c r="H15" s="115" t="n"/>
      <c r="I15" s="116">
        <f>IF(AND(G15&lt;&gt;"",H15="En cours"),TODAY()-G15,IF(AND(G15&lt;&gt;"",H15="Cloture"),TODAY()-G15,""))</f>
        <v/>
      </c>
      <c r="J15" s="113" t="n"/>
      <c r="K15" s="113" t="n"/>
      <c r="L15" s="113" t="n"/>
      <c r="M15" s="117" t="n"/>
      <c r="N15" s="115" t="n"/>
      <c r="O15" s="118">
        <f>IF(G15&lt;&gt;"",TEXT(G15,"MMMM YYYY"),"")</f>
        <v/>
      </c>
      <c r="P15" s="118">
        <f>IF(G15&lt;&gt;"",YEAR(G15),"")</f>
        <v/>
      </c>
    </row>
    <row r="16" ht="21.75" customHeight="1" s="85">
      <c r="A16" s="119">
        <f>IF(B16&lt;&gt;"",ROW()-2,"")</f>
        <v/>
      </c>
      <c r="B16" s="120" t="n"/>
      <c r="C16" s="120" t="n"/>
      <c r="D16" s="120" t="n"/>
      <c r="E16" s="120" t="n"/>
      <c r="F16" s="120" t="n"/>
      <c r="G16" s="121" t="n"/>
      <c r="H16" s="122" t="n"/>
      <c r="I16" s="116">
        <f>IF(AND(G16&lt;&gt;"",H16="En cours"),TODAY()-G16,IF(AND(G16&lt;&gt;"",H16="Cloture"),TODAY()-G16,""))</f>
        <v/>
      </c>
      <c r="J16" s="120" t="n"/>
      <c r="K16" s="120" t="n"/>
      <c r="L16" s="120" t="n"/>
      <c r="M16" s="123" t="n"/>
      <c r="N16" s="122" t="n"/>
      <c r="O16" s="118">
        <f>IF(G16&lt;&gt;"",TEXT(G16,"MMMM YYYY"),"")</f>
        <v/>
      </c>
      <c r="P16" s="118">
        <f>IF(G16&lt;&gt;"",YEAR(G16),"")</f>
        <v/>
      </c>
    </row>
    <row r="17" ht="21.75" customHeight="1" s="85">
      <c r="A17" s="112">
        <f>IF(B17&lt;&gt;"",ROW()-2,"")</f>
        <v/>
      </c>
      <c r="B17" s="113" t="n"/>
      <c r="C17" s="113" t="n"/>
      <c r="D17" s="113" t="n"/>
      <c r="E17" s="113" t="n"/>
      <c r="F17" s="113" t="n"/>
      <c r="G17" s="114" t="n"/>
      <c r="H17" s="115" t="n"/>
      <c r="I17" s="116">
        <f>IF(AND(G17&lt;&gt;"",H17="En cours"),TODAY()-G17,IF(AND(G17&lt;&gt;"",H17="Cloture"),TODAY()-G17,""))</f>
        <v/>
      </c>
      <c r="J17" s="113" t="n"/>
      <c r="K17" s="113" t="n"/>
      <c r="L17" s="113" t="n"/>
      <c r="M17" s="117" t="n"/>
      <c r="N17" s="115" t="n"/>
      <c r="O17" s="118">
        <f>IF(G17&lt;&gt;"",TEXT(G17,"MMMM YYYY"),"")</f>
        <v/>
      </c>
      <c r="P17" s="118">
        <f>IF(G17&lt;&gt;"",YEAR(G17),"")</f>
        <v/>
      </c>
    </row>
    <row r="18" ht="21.75" customHeight="1" s="85">
      <c r="A18" s="119">
        <f>IF(B18&lt;&gt;"",ROW()-2,"")</f>
        <v/>
      </c>
      <c r="B18" s="120" t="n"/>
      <c r="C18" s="120" t="n"/>
      <c r="D18" s="120" t="n"/>
      <c r="E18" s="120" t="n"/>
      <c r="F18" s="120" t="n"/>
      <c r="G18" s="121" t="n"/>
      <c r="H18" s="122" t="n"/>
      <c r="I18" s="116">
        <f>IF(AND(G18&lt;&gt;"",H18="En cours"),TODAY()-G18,IF(AND(G18&lt;&gt;"",H18="Cloture"),TODAY()-G18,""))</f>
        <v/>
      </c>
      <c r="J18" s="120" t="n"/>
      <c r="K18" s="120" t="n"/>
      <c r="L18" s="120" t="n"/>
      <c r="M18" s="123" t="n"/>
      <c r="N18" s="122" t="n"/>
      <c r="O18" s="118">
        <f>IF(G18&lt;&gt;"",TEXT(G18,"MMMM YYYY"),"")</f>
        <v/>
      </c>
      <c r="P18" s="118">
        <f>IF(G18&lt;&gt;"",YEAR(G18),"")</f>
        <v/>
      </c>
    </row>
    <row r="19" ht="21.75" customHeight="1" s="85">
      <c r="A19" s="112">
        <f>IF(B19&lt;&gt;"",ROW()-2,"")</f>
        <v/>
      </c>
      <c r="B19" s="113" t="n"/>
      <c r="C19" s="113" t="n"/>
      <c r="D19" s="113" t="n"/>
      <c r="E19" s="113" t="n"/>
      <c r="F19" s="113" t="n"/>
      <c r="G19" s="114" t="n"/>
      <c r="H19" s="115" t="n"/>
      <c r="I19" s="116">
        <f>IF(AND(G19&lt;&gt;"",H19="En cours"),TODAY()-G19,IF(AND(G19&lt;&gt;"",H19="Cloture"),TODAY()-G19,""))</f>
        <v/>
      </c>
      <c r="J19" s="113" t="n"/>
      <c r="K19" s="113" t="n"/>
      <c r="L19" s="113" t="n"/>
      <c r="M19" s="117" t="n"/>
      <c r="N19" s="115" t="n"/>
      <c r="O19" s="118">
        <f>IF(G19&lt;&gt;"",TEXT(G19,"MMMM YYYY"),"")</f>
        <v/>
      </c>
      <c r="P19" s="118">
        <f>IF(G19&lt;&gt;"",YEAR(G19),"")</f>
        <v/>
      </c>
    </row>
    <row r="20" ht="21.75" customHeight="1" s="85">
      <c r="A20" s="119">
        <f>IF(B20&lt;&gt;"",ROW()-2,"")</f>
        <v/>
      </c>
      <c r="B20" s="120" t="n"/>
      <c r="C20" s="120" t="n"/>
      <c r="D20" s="120" t="n"/>
      <c r="E20" s="120" t="n"/>
      <c r="F20" s="120" t="n"/>
      <c r="G20" s="121" t="n"/>
      <c r="H20" s="122" t="n"/>
      <c r="I20" s="116">
        <f>IF(AND(G20&lt;&gt;"",H20="En cours"),TODAY()-G20,IF(AND(G20&lt;&gt;"",H20="Cloture"),TODAY()-G20,""))</f>
        <v/>
      </c>
      <c r="J20" s="120" t="n"/>
      <c r="K20" s="120" t="n"/>
      <c r="L20" s="120" t="n"/>
      <c r="M20" s="123" t="n"/>
      <c r="N20" s="122" t="n"/>
      <c r="O20" s="118">
        <f>IF(G20&lt;&gt;"",TEXT(G20,"MMMM YYYY"),"")</f>
        <v/>
      </c>
      <c r="P20" s="118">
        <f>IF(G20&lt;&gt;"",YEAR(G20),"")</f>
        <v/>
      </c>
    </row>
    <row r="21" ht="21.75" customHeight="1" s="85">
      <c r="A21" s="112">
        <f>IF(B21&lt;&gt;"",ROW()-2,"")</f>
        <v/>
      </c>
      <c r="B21" s="113" t="n"/>
      <c r="C21" s="113" t="n"/>
      <c r="D21" s="113" t="n"/>
      <c r="E21" s="113" t="n"/>
      <c r="F21" s="113" t="n"/>
      <c r="G21" s="114" t="n"/>
      <c r="H21" s="115" t="n"/>
      <c r="I21" s="116">
        <f>IF(AND(G21&lt;&gt;"",H21="En cours"),TODAY()-G21,IF(AND(G21&lt;&gt;"",H21="Cloture"),TODAY()-G21,""))</f>
        <v/>
      </c>
      <c r="J21" s="113" t="n"/>
      <c r="K21" s="113" t="n"/>
      <c r="L21" s="113" t="n"/>
      <c r="M21" s="117" t="n"/>
      <c r="N21" s="115" t="n"/>
      <c r="O21" s="118">
        <f>IF(G21&lt;&gt;"",TEXT(G21,"MMMM YYYY"),"")</f>
        <v/>
      </c>
      <c r="P21" s="118">
        <f>IF(G21&lt;&gt;"",YEAR(G21),"")</f>
        <v/>
      </c>
    </row>
    <row r="22" ht="21.75" customHeight="1" s="85">
      <c r="A22" s="119">
        <f>IF(B22&lt;&gt;"",ROW()-2,"")</f>
        <v/>
      </c>
      <c r="B22" s="120" t="n"/>
      <c r="C22" s="120" t="n"/>
      <c r="D22" s="120" t="n"/>
      <c r="E22" s="120" t="n"/>
      <c r="F22" s="120" t="n"/>
      <c r="G22" s="121" t="n"/>
      <c r="H22" s="122" t="n"/>
      <c r="I22" s="116">
        <f>IF(AND(G22&lt;&gt;"",H22="En cours"),TODAY()-G22,IF(AND(G22&lt;&gt;"",H22="Cloture"),TODAY()-G22,""))</f>
        <v/>
      </c>
      <c r="J22" s="120" t="n"/>
      <c r="K22" s="120" t="n"/>
      <c r="L22" s="120" t="n"/>
      <c r="M22" s="123" t="n"/>
      <c r="N22" s="122" t="n"/>
      <c r="O22" s="118">
        <f>IF(G22&lt;&gt;"",TEXT(G22,"MMMM YYYY"),"")</f>
        <v/>
      </c>
      <c r="P22" s="118">
        <f>IF(G22&lt;&gt;"",YEAR(G22),"")</f>
        <v/>
      </c>
    </row>
    <row r="23" ht="21.75" customHeight="1" s="85">
      <c r="A23" s="112">
        <f>IF(B23&lt;&gt;"",ROW()-2,"")</f>
        <v/>
      </c>
      <c r="B23" s="113" t="n"/>
      <c r="C23" s="113" t="n"/>
      <c r="D23" s="113" t="n"/>
      <c r="E23" s="113" t="n"/>
      <c r="F23" s="113" t="n"/>
      <c r="G23" s="114" t="n"/>
      <c r="H23" s="115" t="n"/>
      <c r="I23" s="116">
        <f>IF(AND(G23&lt;&gt;"",H23="En cours"),TODAY()-G23,IF(AND(G23&lt;&gt;"",H23="Cloture"),TODAY()-G23,""))</f>
        <v/>
      </c>
      <c r="J23" s="113" t="n"/>
      <c r="K23" s="113" t="n"/>
      <c r="L23" s="113" t="n"/>
      <c r="M23" s="117" t="n"/>
      <c r="N23" s="115" t="n"/>
      <c r="O23" s="118">
        <f>IF(G23&lt;&gt;"",TEXT(G23,"MMMM YYYY"),"")</f>
        <v/>
      </c>
      <c r="P23" s="118">
        <f>IF(G23&lt;&gt;"",YEAR(G23),"")</f>
        <v/>
      </c>
    </row>
    <row r="24" ht="21.75" customHeight="1" s="85">
      <c r="A24" s="119">
        <f>IF(B24&lt;&gt;"",ROW()-2,"")</f>
        <v/>
      </c>
      <c r="B24" s="120" t="n"/>
      <c r="C24" s="120" t="n"/>
      <c r="D24" s="120" t="n"/>
      <c r="E24" s="120" t="n"/>
      <c r="F24" s="120" t="n"/>
      <c r="G24" s="121" t="n"/>
      <c r="H24" s="122" t="n"/>
      <c r="I24" s="116">
        <f>IF(AND(G24&lt;&gt;"",H24="En cours"),TODAY()-G24,IF(AND(G24&lt;&gt;"",H24="Cloture"),TODAY()-G24,""))</f>
        <v/>
      </c>
      <c r="J24" s="120" t="n"/>
      <c r="K24" s="120" t="n"/>
      <c r="L24" s="120" t="n"/>
      <c r="M24" s="123" t="n"/>
      <c r="N24" s="122" t="n"/>
      <c r="O24" s="118">
        <f>IF(G24&lt;&gt;"",TEXT(G24,"MMMM YYYY"),"")</f>
        <v/>
      </c>
      <c r="P24" s="118">
        <f>IF(G24&lt;&gt;"",YEAR(G24),"")</f>
        <v/>
      </c>
    </row>
    <row r="25" ht="21.75" customHeight="1" s="85">
      <c r="A25" s="112">
        <f>IF(B25&lt;&gt;"",ROW()-2,"")</f>
        <v/>
      </c>
      <c r="B25" s="113" t="n"/>
      <c r="C25" s="113" t="n"/>
      <c r="D25" s="113" t="n"/>
      <c r="E25" s="113" t="n"/>
      <c r="F25" s="113" t="n"/>
      <c r="G25" s="114" t="n"/>
      <c r="H25" s="115" t="n"/>
      <c r="I25" s="116">
        <f>IF(AND(G25&lt;&gt;"",H25="En cours"),TODAY()-G25,IF(AND(G25&lt;&gt;"",H25="Cloture"),TODAY()-G25,""))</f>
        <v/>
      </c>
      <c r="J25" s="113" t="n"/>
      <c r="K25" s="113" t="n"/>
      <c r="L25" s="113" t="n"/>
      <c r="M25" s="117" t="n"/>
      <c r="N25" s="115" t="n"/>
      <c r="O25" s="118">
        <f>IF(G25&lt;&gt;"",TEXT(G25,"MMMM YYYY"),"")</f>
        <v/>
      </c>
      <c r="P25" s="118">
        <f>IF(G25&lt;&gt;"",YEAR(G25),"")</f>
        <v/>
      </c>
    </row>
    <row r="26" ht="21.75" customHeight="1" s="85">
      <c r="A26" s="119">
        <f>IF(B26&lt;&gt;"",ROW()-2,"")</f>
        <v/>
      </c>
      <c r="B26" s="120" t="n"/>
      <c r="C26" s="120" t="n"/>
      <c r="D26" s="120" t="n"/>
      <c r="E26" s="120" t="n"/>
      <c r="F26" s="120" t="n"/>
      <c r="G26" s="121" t="n"/>
      <c r="H26" s="122" t="n"/>
      <c r="I26" s="116">
        <f>IF(AND(G26&lt;&gt;"",H26="En cours"),TODAY()-G26,IF(AND(G26&lt;&gt;"",H26="Cloture"),TODAY()-G26,""))</f>
        <v/>
      </c>
      <c r="J26" s="120" t="n"/>
      <c r="K26" s="120" t="n"/>
      <c r="L26" s="120" t="n"/>
      <c r="M26" s="123" t="n"/>
      <c r="N26" s="122" t="n"/>
      <c r="O26" s="118">
        <f>IF(G26&lt;&gt;"",TEXT(G26,"MMMM YYYY"),"")</f>
        <v/>
      </c>
      <c r="P26" s="118">
        <f>IF(G26&lt;&gt;"",YEAR(G26),"")</f>
        <v/>
      </c>
    </row>
    <row r="27" ht="21.75" customHeight="1" s="85">
      <c r="A27" s="112">
        <f>IF(B27&lt;&gt;"",ROW()-2,"")</f>
        <v/>
      </c>
      <c r="B27" s="113" t="n"/>
      <c r="C27" s="113" t="n"/>
      <c r="D27" s="113" t="n"/>
      <c r="E27" s="113" t="n"/>
      <c r="F27" s="113" t="n"/>
      <c r="G27" s="114" t="n"/>
      <c r="H27" s="115" t="n"/>
      <c r="I27" s="116">
        <f>IF(AND(G27&lt;&gt;"",H27="En cours"),TODAY()-G27,IF(AND(G27&lt;&gt;"",H27="Cloture"),TODAY()-G27,""))</f>
        <v/>
      </c>
      <c r="J27" s="113" t="n"/>
      <c r="K27" s="113" t="n"/>
      <c r="L27" s="113" t="n"/>
      <c r="M27" s="117" t="n"/>
      <c r="N27" s="115" t="n"/>
      <c r="O27" s="118">
        <f>IF(G27&lt;&gt;"",TEXT(G27,"MMMM YYYY"),"")</f>
        <v/>
      </c>
      <c r="P27" s="118">
        <f>IF(G27&lt;&gt;"",YEAR(G27),"")</f>
        <v/>
      </c>
    </row>
    <row r="28" ht="21.75" customHeight="1" s="85">
      <c r="A28" s="119">
        <f>IF(B28&lt;&gt;"",ROW()-2,"")</f>
        <v/>
      </c>
      <c r="B28" s="120" t="n"/>
      <c r="C28" s="120" t="n"/>
      <c r="D28" s="120" t="n"/>
      <c r="E28" s="120" t="n"/>
      <c r="F28" s="120" t="n"/>
      <c r="G28" s="121" t="n"/>
      <c r="H28" s="122" t="n"/>
      <c r="I28" s="116">
        <f>IF(AND(G28&lt;&gt;"",H28="En cours"),TODAY()-G28,IF(AND(G28&lt;&gt;"",H28="Cloture"),TODAY()-G28,""))</f>
        <v/>
      </c>
      <c r="J28" s="120" t="n"/>
      <c r="K28" s="120" t="n"/>
      <c r="L28" s="120" t="n"/>
      <c r="M28" s="123" t="n"/>
      <c r="N28" s="122" t="n"/>
      <c r="O28" s="118">
        <f>IF(G28&lt;&gt;"",TEXT(G28,"MMMM YYYY"),"")</f>
        <v/>
      </c>
      <c r="P28" s="118">
        <f>IF(G28&lt;&gt;"",YEAR(G28),"")</f>
        <v/>
      </c>
    </row>
    <row r="29" ht="21.75" customHeight="1" s="85">
      <c r="A29" s="112">
        <f>IF(B29&lt;&gt;"",ROW()-2,"")</f>
        <v/>
      </c>
      <c r="B29" s="113" t="n"/>
      <c r="C29" s="113" t="n"/>
      <c r="D29" s="113" t="n"/>
      <c r="E29" s="113" t="n"/>
      <c r="F29" s="113" t="n"/>
      <c r="G29" s="114" t="n"/>
      <c r="H29" s="115" t="n"/>
      <c r="I29" s="116">
        <f>IF(AND(G29&lt;&gt;"",H29="En cours"),TODAY()-G29,IF(AND(G29&lt;&gt;"",H29="Cloture"),TODAY()-G29,""))</f>
        <v/>
      </c>
      <c r="J29" s="113" t="n"/>
      <c r="K29" s="113" t="n"/>
      <c r="L29" s="113" t="n"/>
      <c r="M29" s="117" t="n"/>
      <c r="N29" s="115" t="n"/>
      <c r="O29" s="118">
        <f>IF(G29&lt;&gt;"",TEXT(G29,"MMMM YYYY"),"")</f>
        <v/>
      </c>
      <c r="P29" s="118">
        <f>IF(G29&lt;&gt;"",YEAR(G29),"")</f>
        <v/>
      </c>
    </row>
    <row r="30" ht="21.75" customHeight="1" s="85">
      <c r="A30" s="119">
        <f>IF(B30&lt;&gt;"",ROW()-2,"")</f>
        <v/>
      </c>
      <c r="B30" s="120" t="n"/>
      <c r="C30" s="120" t="n"/>
      <c r="D30" s="120" t="n"/>
      <c r="E30" s="120" t="n"/>
      <c r="F30" s="120" t="n"/>
      <c r="G30" s="121" t="n"/>
      <c r="H30" s="122" t="n"/>
      <c r="I30" s="116">
        <f>IF(AND(G30&lt;&gt;"",H30="En cours"),TODAY()-G30,IF(AND(G30&lt;&gt;"",H30="Cloture"),TODAY()-G30,""))</f>
        <v/>
      </c>
      <c r="J30" s="120" t="n"/>
      <c r="K30" s="120" t="n"/>
      <c r="L30" s="120" t="n"/>
      <c r="M30" s="123" t="n"/>
      <c r="N30" s="122" t="n"/>
      <c r="O30" s="118">
        <f>IF(G30&lt;&gt;"",TEXT(G30,"MMMM YYYY"),"")</f>
        <v/>
      </c>
      <c r="P30" s="118">
        <f>IF(G30&lt;&gt;"",YEAR(G30),"")</f>
        <v/>
      </c>
    </row>
    <row r="31" ht="21.75" customHeight="1" s="85">
      <c r="A31" s="112">
        <f>IF(B31&lt;&gt;"",ROW()-2,"")</f>
        <v/>
      </c>
      <c r="B31" s="113" t="n"/>
      <c r="C31" s="113" t="n"/>
      <c r="D31" s="113" t="n"/>
      <c r="E31" s="113" t="n"/>
      <c r="F31" s="113" t="n"/>
      <c r="G31" s="114" t="n"/>
      <c r="H31" s="115" t="n"/>
      <c r="I31" s="116">
        <f>IF(AND(G31&lt;&gt;"",H31="En cours"),TODAY()-G31,IF(AND(G31&lt;&gt;"",H31="Cloture"),TODAY()-G31,""))</f>
        <v/>
      </c>
      <c r="J31" s="113" t="n"/>
      <c r="K31" s="113" t="n"/>
      <c r="L31" s="113" t="n"/>
      <c r="M31" s="117" t="n"/>
      <c r="N31" s="115" t="n"/>
      <c r="O31" s="118">
        <f>IF(G31&lt;&gt;"",TEXT(G31,"MMMM YYYY"),"")</f>
        <v/>
      </c>
      <c r="P31" s="118">
        <f>IF(G31&lt;&gt;"",YEAR(G31),"")</f>
        <v/>
      </c>
    </row>
    <row r="32" ht="21.75" customHeight="1" s="85">
      <c r="A32" s="119">
        <f>IF(B32&lt;&gt;"",ROW()-2,"")</f>
        <v/>
      </c>
      <c r="B32" s="120" t="n"/>
      <c r="C32" s="120" t="n"/>
      <c r="D32" s="120" t="n"/>
      <c r="E32" s="120" t="n"/>
      <c r="F32" s="120" t="n"/>
      <c r="G32" s="121" t="n"/>
      <c r="H32" s="122" t="n"/>
      <c r="I32" s="116">
        <f>IF(AND(G32&lt;&gt;"",H32="En cours"),TODAY()-G32,IF(AND(G32&lt;&gt;"",H32="Cloture"),TODAY()-G32,""))</f>
        <v/>
      </c>
      <c r="J32" s="120" t="n"/>
      <c r="K32" s="120" t="n"/>
      <c r="L32" s="120" t="n"/>
      <c r="M32" s="123" t="n"/>
      <c r="N32" s="122" t="n"/>
      <c r="O32" s="118">
        <f>IF(G32&lt;&gt;"",TEXT(G32,"MMMM YYYY"),"")</f>
        <v/>
      </c>
      <c r="P32" s="118">
        <f>IF(G32&lt;&gt;"",YEAR(G32),"")</f>
        <v/>
      </c>
    </row>
    <row r="33" ht="21.75" customHeight="1" s="85">
      <c r="A33" s="112">
        <f>IF(B33&lt;&gt;"",ROW()-2,"")</f>
        <v/>
      </c>
      <c r="B33" s="113" t="n"/>
      <c r="C33" s="113" t="n"/>
      <c r="D33" s="113" t="n"/>
      <c r="E33" s="113" t="n"/>
      <c r="F33" s="113" t="n"/>
      <c r="G33" s="114" t="n"/>
      <c r="H33" s="115" t="n"/>
      <c r="I33" s="116">
        <f>IF(AND(G33&lt;&gt;"",H33="En cours"),TODAY()-G33,IF(AND(G33&lt;&gt;"",H33="Cloture"),TODAY()-G33,""))</f>
        <v/>
      </c>
      <c r="J33" s="113" t="n"/>
      <c r="K33" s="113" t="n"/>
      <c r="L33" s="113" t="n"/>
      <c r="M33" s="117" t="n"/>
      <c r="N33" s="115" t="n"/>
      <c r="O33" s="118">
        <f>IF(G33&lt;&gt;"",TEXT(G33,"MMMM YYYY"),"")</f>
        <v/>
      </c>
      <c r="P33" s="118">
        <f>IF(G33&lt;&gt;"",YEAR(G33),"")</f>
        <v/>
      </c>
    </row>
    <row r="34" ht="21.75" customHeight="1" s="85">
      <c r="A34" s="119">
        <f>IF(B34&lt;&gt;"",ROW()-2,"")</f>
        <v/>
      </c>
      <c r="B34" s="120" t="n"/>
      <c r="C34" s="120" t="n"/>
      <c r="D34" s="120" t="n"/>
      <c r="E34" s="120" t="n"/>
      <c r="F34" s="120" t="n"/>
      <c r="G34" s="121" t="n"/>
      <c r="H34" s="122" t="n"/>
      <c r="I34" s="116">
        <f>IF(AND(G34&lt;&gt;"",H34="En cours"),TODAY()-G34,IF(AND(G34&lt;&gt;"",H34="Cloture"),TODAY()-G34,""))</f>
        <v/>
      </c>
      <c r="J34" s="120" t="n"/>
      <c r="K34" s="120" t="n"/>
      <c r="L34" s="120" t="n"/>
      <c r="M34" s="123" t="n"/>
      <c r="N34" s="122" t="n"/>
      <c r="O34" s="118">
        <f>IF(G34&lt;&gt;"",TEXT(G34,"MMMM YYYY"),"")</f>
        <v/>
      </c>
      <c r="P34" s="118">
        <f>IF(G34&lt;&gt;"",YEAR(G34),"")</f>
        <v/>
      </c>
    </row>
    <row r="35" ht="21.75" customHeight="1" s="85">
      <c r="A35" s="112">
        <f>IF(B35&lt;&gt;"",ROW()-2,"")</f>
        <v/>
      </c>
      <c r="B35" s="113" t="n"/>
      <c r="C35" s="113" t="n"/>
      <c r="D35" s="113" t="n"/>
      <c r="E35" s="113" t="n"/>
      <c r="F35" s="113" t="n"/>
      <c r="G35" s="114" t="n"/>
      <c r="H35" s="115" t="n"/>
      <c r="I35" s="116">
        <f>IF(AND(G35&lt;&gt;"",H35="En cours"),TODAY()-G35,IF(AND(G35&lt;&gt;"",H35="Cloture"),TODAY()-G35,""))</f>
        <v/>
      </c>
      <c r="J35" s="113" t="n"/>
      <c r="K35" s="113" t="n"/>
      <c r="L35" s="113" t="n"/>
      <c r="M35" s="117" t="n"/>
      <c r="N35" s="115" t="n"/>
      <c r="O35" s="118">
        <f>IF(G35&lt;&gt;"",TEXT(G35,"MMMM YYYY"),"")</f>
        <v/>
      </c>
      <c r="P35" s="118">
        <f>IF(G35&lt;&gt;"",YEAR(G35),"")</f>
        <v/>
      </c>
    </row>
    <row r="36" ht="21.75" customHeight="1" s="85">
      <c r="A36" s="119">
        <f>IF(B36&lt;&gt;"",ROW()-2,"")</f>
        <v/>
      </c>
      <c r="B36" s="120" t="n"/>
      <c r="C36" s="120" t="n"/>
      <c r="D36" s="120" t="n"/>
      <c r="E36" s="120" t="n"/>
      <c r="F36" s="120" t="n"/>
      <c r="G36" s="121" t="n"/>
      <c r="H36" s="122" t="n"/>
      <c r="I36" s="116">
        <f>IF(AND(G36&lt;&gt;"",H36="En cours"),TODAY()-G36,IF(AND(G36&lt;&gt;"",H36="Cloture"),TODAY()-G36,""))</f>
        <v/>
      </c>
      <c r="J36" s="120" t="n"/>
      <c r="K36" s="120" t="n"/>
      <c r="L36" s="120" t="n"/>
      <c r="M36" s="123" t="n"/>
      <c r="N36" s="122" t="n"/>
      <c r="O36" s="118">
        <f>IF(G36&lt;&gt;"",TEXT(G36,"MMMM YYYY"),"")</f>
        <v/>
      </c>
      <c r="P36" s="118">
        <f>IF(G36&lt;&gt;"",YEAR(G36),"")</f>
        <v/>
      </c>
    </row>
    <row r="37" ht="21.75" customHeight="1" s="85">
      <c r="A37" s="112">
        <f>IF(B37&lt;&gt;"",ROW()-2,"")</f>
        <v/>
      </c>
      <c r="B37" s="113" t="n"/>
      <c r="C37" s="113" t="n"/>
      <c r="D37" s="113" t="n"/>
      <c r="E37" s="113" t="n"/>
      <c r="F37" s="113" t="n"/>
      <c r="G37" s="114" t="n"/>
      <c r="H37" s="115" t="n"/>
      <c r="I37" s="116">
        <f>IF(AND(G37&lt;&gt;"",H37="En cours"),TODAY()-G37,IF(AND(G37&lt;&gt;"",H37="Cloture"),TODAY()-G37,""))</f>
        <v/>
      </c>
      <c r="J37" s="113" t="n"/>
      <c r="K37" s="113" t="n"/>
      <c r="L37" s="113" t="n"/>
      <c r="M37" s="117" t="n"/>
      <c r="N37" s="115" t="n"/>
      <c r="O37" s="118">
        <f>IF(G37&lt;&gt;"",TEXT(G37,"MMMM YYYY"),"")</f>
        <v/>
      </c>
      <c r="P37" s="118">
        <f>IF(G37&lt;&gt;"",YEAR(G37),"")</f>
        <v/>
      </c>
    </row>
    <row r="38" ht="21.75" customHeight="1" s="85">
      <c r="A38" s="119">
        <f>IF(B38&lt;&gt;"",ROW()-2,"")</f>
        <v/>
      </c>
      <c r="B38" s="120" t="n"/>
      <c r="C38" s="120" t="n"/>
      <c r="D38" s="120" t="n"/>
      <c r="E38" s="120" t="n"/>
      <c r="F38" s="120" t="n"/>
      <c r="G38" s="121" t="n"/>
      <c r="H38" s="122" t="n"/>
      <c r="I38" s="116">
        <f>IF(AND(G38&lt;&gt;"",H38="En cours"),TODAY()-G38,IF(AND(G38&lt;&gt;"",H38="Cloture"),TODAY()-G38,""))</f>
        <v/>
      </c>
      <c r="J38" s="120" t="n"/>
      <c r="K38" s="120" t="n"/>
      <c r="L38" s="120" t="n"/>
      <c r="M38" s="123" t="n"/>
      <c r="N38" s="122" t="n"/>
      <c r="O38" s="118">
        <f>IF(G38&lt;&gt;"",TEXT(G38,"MMMM YYYY"),"")</f>
        <v/>
      </c>
      <c r="P38" s="118">
        <f>IF(G38&lt;&gt;"",YEAR(G38),"")</f>
        <v/>
      </c>
    </row>
    <row r="39" ht="21.75" customHeight="1" s="85">
      <c r="A39" s="112">
        <f>IF(B39&lt;&gt;"",ROW()-2,"")</f>
        <v/>
      </c>
      <c r="B39" s="113" t="n"/>
      <c r="C39" s="113" t="n"/>
      <c r="D39" s="113" t="n"/>
      <c r="E39" s="113" t="n"/>
      <c r="F39" s="113" t="n"/>
      <c r="G39" s="114" t="n"/>
      <c r="H39" s="115" t="n"/>
      <c r="I39" s="116">
        <f>IF(AND(G39&lt;&gt;"",H39="En cours"),TODAY()-G39,IF(AND(G39&lt;&gt;"",H39="Cloture"),TODAY()-G39,""))</f>
        <v/>
      </c>
      <c r="J39" s="113" t="n"/>
      <c r="K39" s="113" t="n"/>
      <c r="L39" s="113" t="n"/>
      <c r="M39" s="117" t="n"/>
      <c r="N39" s="115" t="n"/>
      <c r="O39" s="118">
        <f>IF(G39&lt;&gt;"",TEXT(G39,"MMMM YYYY"),"")</f>
        <v/>
      </c>
      <c r="P39" s="118">
        <f>IF(G39&lt;&gt;"",YEAR(G39),"")</f>
        <v/>
      </c>
    </row>
    <row r="40" ht="21.75" customHeight="1" s="85">
      <c r="A40" s="119">
        <f>IF(B40&lt;&gt;"",ROW()-2,"")</f>
        <v/>
      </c>
      <c r="B40" s="120" t="n"/>
      <c r="C40" s="120" t="n"/>
      <c r="D40" s="120" t="n"/>
      <c r="E40" s="120" t="n"/>
      <c r="F40" s="120" t="n"/>
      <c r="G40" s="121" t="n"/>
      <c r="H40" s="122" t="n"/>
      <c r="I40" s="116">
        <f>IF(AND(G40&lt;&gt;"",H40="En cours"),TODAY()-G40,IF(AND(G40&lt;&gt;"",H40="Cloture"),TODAY()-G40,""))</f>
        <v/>
      </c>
      <c r="J40" s="120" t="n"/>
      <c r="K40" s="120" t="n"/>
      <c r="L40" s="120" t="n"/>
      <c r="M40" s="123" t="n"/>
      <c r="N40" s="122" t="n"/>
      <c r="O40" s="118">
        <f>IF(G40&lt;&gt;"",TEXT(G40,"MMMM YYYY"),"")</f>
        <v/>
      </c>
      <c r="P40" s="118">
        <f>IF(G40&lt;&gt;"",YEAR(G40),"")</f>
        <v/>
      </c>
    </row>
    <row r="41" ht="21.75" customHeight="1" s="85">
      <c r="A41" s="112">
        <f>IF(B41&lt;&gt;"",ROW()-2,"")</f>
        <v/>
      </c>
      <c r="B41" s="113" t="n"/>
      <c r="C41" s="113" t="n"/>
      <c r="D41" s="113" t="n"/>
      <c r="E41" s="113" t="n"/>
      <c r="F41" s="113" t="n"/>
      <c r="G41" s="114" t="n"/>
      <c r="H41" s="115" t="n"/>
      <c r="I41" s="116">
        <f>IF(AND(G41&lt;&gt;"",H41="En cours"),TODAY()-G41,IF(AND(G41&lt;&gt;"",H41="Cloture"),TODAY()-G41,""))</f>
        <v/>
      </c>
      <c r="J41" s="113" t="n"/>
      <c r="K41" s="113" t="n"/>
      <c r="L41" s="113" t="n"/>
      <c r="M41" s="117" t="n"/>
      <c r="N41" s="115" t="n"/>
      <c r="O41" s="118">
        <f>IF(G41&lt;&gt;"",TEXT(G41,"MMMM YYYY"),"")</f>
        <v/>
      </c>
      <c r="P41" s="118">
        <f>IF(G41&lt;&gt;"",YEAR(G41),"")</f>
        <v/>
      </c>
    </row>
    <row r="42" ht="21.75" customHeight="1" s="85">
      <c r="A42" s="119">
        <f>IF(B42&lt;&gt;"",ROW()-2,"")</f>
        <v/>
      </c>
      <c r="B42" s="120" t="n"/>
      <c r="C42" s="120" t="n"/>
      <c r="D42" s="120" t="n"/>
      <c r="E42" s="120" t="n"/>
      <c r="F42" s="120" t="n"/>
      <c r="G42" s="121" t="n"/>
      <c r="H42" s="122" t="n"/>
      <c r="I42" s="116">
        <f>IF(AND(G42&lt;&gt;"",H42="En cours"),TODAY()-G42,IF(AND(G42&lt;&gt;"",H42="Cloture"),TODAY()-G42,""))</f>
        <v/>
      </c>
      <c r="J42" s="120" t="n"/>
      <c r="K42" s="120" t="n"/>
      <c r="L42" s="120" t="n"/>
      <c r="M42" s="123" t="n"/>
      <c r="N42" s="122" t="n"/>
      <c r="O42" s="118">
        <f>IF(G42&lt;&gt;"",TEXT(G42,"MMMM YYYY"),"")</f>
        <v/>
      </c>
      <c r="P42" s="118">
        <f>IF(G42&lt;&gt;"",YEAR(G42),"")</f>
        <v/>
      </c>
    </row>
    <row r="43" ht="21.75" customHeight="1" s="85">
      <c r="A43" s="112">
        <f>IF(B43&lt;&gt;"",ROW()-2,"")</f>
        <v/>
      </c>
      <c r="B43" s="113" t="n"/>
      <c r="C43" s="113" t="n"/>
      <c r="D43" s="113" t="n"/>
      <c r="E43" s="113" t="n"/>
      <c r="F43" s="113" t="n"/>
      <c r="G43" s="114" t="n"/>
      <c r="H43" s="115" t="n"/>
      <c r="I43" s="116">
        <f>IF(AND(G43&lt;&gt;"",H43="En cours"),TODAY()-G43,IF(AND(G43&lt;&gt;"",H43="Cloture"),TODAY()-G43,""))</f>
        <v/>
      </c>
      <c r="J43" s="113" t="n"/>
      <c r="K43" s="113" t="n"/>
      <c r="L43" s="113" t="n"/>
      <c r="M43" s="117" t="n"/>
      <c r="N43" s="115" t="n"/>
      <c r="O43" s="118">
        <f>IF(G43&lt;&gt;"",TEXT(G43,"MMMM YYYY"),"")</f>
        <v/>
      </c>
      <c r="P43" s="118">
        <f>IF(G43&lt;&gt;"",YEAR(G43),"")</f>
        <v/>
      </c>
    </row>
    <row r="44" ht="21.75" customHeight="1" s="85">
      <c r="A44" s="119">
        <f>IF(B44&lt;&gt;"",ROW()-2,"")</f>
        <v/>
      </c>
      <c r="B44" s="120" t="n"/>
      <c r="C44" s="120" t="n"/>
      <c r="D44" s="120" t="n"/>
      <c r="E44" s="120" t="n"/>
      <c r="F44" s="120" t="n"/>
      <c r="G44" s="121" t="n"/>
      <c r="H44" s="122" t="n"/>
      <c r="I44" s="116">
        <f>IF(AND(G44&lt;&gt;"",H44="En cours"),TODAY()-G44,IF(AND(G44&lt;&gt;"",H44="Cloture"),TODAY()-G44,""))</f>
        <v/>
      </c>
      <c r="J44" s="120" t="n"/>
      <c r="K44" s="120" t="n"/>
      <c r="L44" s="120" t="n"/>
      <c r="M44" s="123" t="n"/>
      <c r="N44" s="122" t="n"/>
      <c r="O44" s="118">
        <f>IF(G44&lt;&gt;"",TEXT(G44,"MMMM YYYY"),"")</f>
        <v/>
      </c>
      <c r="P44" s="118">
        <f>IF(G44&lt;&gt;"",YEAR(G44),"")</f>
        <v/>
      </c>
    </row>
    <row r="45" ht="21.75" customHeight="1" s="85">
      <c r="A45" s="112">
        <f>IF(B45&lt;&gt;"",ROW()-2,"")</f>
        <v/>
      </c>
      <c r="B45" s="113" t="n"/>
      <c r="C45" s="113" t="n"/>
      <c r="D45" s="113" t="n"/>
      <c r="E45" s="113" t="n"/>
      <c r="F45" s="113" t="n"/>
      <c r="G45" s="114" t="n"/>
      <c r="H45" s="115" t="n"/>
      <c r="I45" s="116">
        <f>IF(AND(G45&lt;&gt;"",H45="En cours"),TODAY()-G45,IF(AND(G45&lt;&gt;"",H45="Cloture"),TODAY()-G45,""))</f>
        <v/>
      </c>
      <c r="J45" s="113" t="n"/>
      <c r="K45" s="113" t="n"/>
      <c r="L45" s="113" t="n"/>
      <c r="M45" s="117" t="n"/>
      <c r="N45" s="115" t="n"/>
      <c r="O45" s="118">
        <f>IF(G45&lt;&gt;"",TEXT(G45,"MMMM YYYY"),"")</f>
        <v/>
      </c>
      <c r="P45" s="118">
        <f>IF(G45&lt;&gt;"",YEAR(G45),"")</f>
        <v/>
      </c>
    </row>
    <row r="46" ht="21.75" customHeight="1" s="85">
      <c r="A46" s="119">
        <f>IF(B46&lt;&gt;"",ROW()-2,"")</f>
        <v/>
      </c>
      <c r="B46" s="120" t="n"/>
      <c r="C46" s="120" t="n"/>
      <c r="D46" s="120" t="n"/>
      <c r="E46" s="120" t="n"/>
      <c r="F46" s="120" t="n"/>
      <c r="G46" s="121" t="n"/>
      <c r="H46" s="122" t="n"/>
      <c r="I46" s="116">
        <f>IF(AND(G46&lt;&gt;"",H46="En cours"),TODAY()-G46,IF(AND(G46&lt;&gt;"",H46="Cloture"),TODAY()-G46,""))</f>
        <v/>
      </c>
      <c r="J46" s="120" t="n"/>
      <c r="K46" s="120" t="n"/>
      <c r="L46" s="120" t="n"/>
      <c r="M46" s="123" t="n"/>
      <c r="N46" s="122" t="n"/>
      <c r="O46" s="118">
        <f>IF(G46&lt;&gt;"",TEXT(G46,"MMMM YYYY"),"")</f>
        <v/>
      </c>
      <c r="P46" s="118">
        <f>IF(G46&lt;&gt;"",YEAR(G46),"")</f>
        <v/>
      </c>
    </row>
    <row r="47" ht="21.75" customHeight="1" s="85">
      <c r="A47" s="112">
        <f>IF(B47&lt;&gt;"",ROW()-2,"")</f>
        <v/>
      </c>
      <c r="B47" s="113" t="n"/>
      <c r="C47" s="113" t="n"/>
      <c r="D47" s="113" t="n"/>
      <c r="E47" s="113" t="n"/>
      <c r="F47" s="113" t="n"/>
      <c r="G47" s="114" t="n"/>
      <c r="H47" s="115" t="n"/>
      <c r="I47" s="116">
        <f>IF(AND(G47&lt;&gt;"",H47="En cours"),TODAY()-G47,IF(AND(G47&lt;&gt;"",H47="Cloture"),TODAY()-G47,""))</f>
        <v/>
      </c>
      <c r="J47" s="113" t="n"/>
      <c r="K47" s="113" t="n"/>
      <c r="L47" s="113" t="n"/>
      <c r="M47" s="117" t="n"/>
      <c r="N47" s="115" t="n"/>
      <c r="O47" s="118">
        <f>IF(G47&lt;&gt;"",TEXT(G47,"MMMM YYYY"),"")</f>
        <v/>
      </c>
      <c r="P47" s="118">
        <f>IF(G47&lt;&gt;"",YEAR(G47),"")</f>
        <v/>
      </c>
    </row>
    <row r="48" ht="21.75" customHeight="1" s="85">
      <c r="A48" s="119">
        <f>IF(B48&lt;&gt;"",ROW()-2,"")</f>
        <v/>
      </c>
      <c r="B48" s="120" t="n"/>
      <c r="C48" s="120" t="n"/>
      <c r="D48" s="120" t="n"/>
      <c r="E48" s="120" t="n"/>
      <c r="F48" s="120" t="n"/>
      <c r="G48" s="121" t="n"/>
      <c r="H48" s="122" t="n"/>
      <c r="I48" s="116">
        <f>IF(AND(G48&lt;&gt;"",H48="En cours"),TODAY()-G48,IF(AND(G48&lt;&gt;"",H48="Cloture"),TODAY()-G48,""))</f>
        <v/>
      </c>
      <c r="J48" s="120" t="n"/>
      <c r="K48" s="120" t="n"/>
      <c r="L48" s="120" t="n"/>
      <c r="M48" s="123" t="n"/>
      <c r="N48" s="122" t="n"/>
      <c r="O48" s="118">
        <f>IF(G48&lt;&gt;"",TEXT(G48,"MMMM YYYY"),"")</f>
        <v/>
      </c>
      <c r="P48" s="118">
        <f>IF(G48&lt;&gt;"",YEAR(G48),"")</f>
        <v/>
      </c>
    </row>
    <row r="49" ht="21.75" customHeight="1" s="85">
      <c r="A49" s="112">
        <f>IF(B49&lt;&gt;"",ROW()-2,"")</f>
        <v/>
      </c>
      <c r="B49" s="113" t="n"/>
      <c r="C49" s="113" t="n"/>
      <c r="D49" s="113" t="n"/>
      <c r="E49" s="113" t="n"/>
      <c r="F49" s="113" t="n"/>
      <c r="G49" s="114" t="n"/>
      <c r="H49" s="115" t="n"/>
      <c r="I49" s="116">
        <f>IF(AND(G49&lt;&gt;"",H49="En cours"),TODAY()-G49,IF(AND(G49&lt;&gt;"",H49="Cloture"),TODAY()-G49,""))</f>
        <v/>
      </c>
      <c r="J49" s="113" t="n"/>
      <c r="K49" s="113" t="n"/>
      <c r="L49" s="113" t="n"/>
      <c r="M49" s="117" t="n"/>
      <c r="N49" s="115" t="n"/>
      <c r="O49" s="118">
        <f>IF(G49&lt;&gt;"",TEXT(G49,"MMMM YYYY"),"")</f>
        <v/>
      </c>
      <c r="P49" s="118">
        <f>IF(G49&lt;&gt;"",YEAR(G49),"")</f>
        <v/>
      </c>
    </row>
    <row r="50" ht="21.75" customHeight="1" s="85">
      <c r="A50" s="119">
        <f>IF(B50&lt;&gt;"",ROW()-2,"")</f>
        <v/>
      </c>
      <c r="B50" s="120" t="n"/>
      <c r="C50" s="120" t="n"/>
      <c r="D50" s="120" t="n"/>
      <c r="E50" s="120" t="n"/>
      <c r="F50" s="120" t="n"/>
      <c r="G50" s="121" t="n"/>
      <c r="H50" s="122" t="n"/>
      <c r="I50" s="116">
        <f>IF(AND(G50&lt;&gt;"",H50="En cours"),TODAY()-G50,IF(AND(G50&lt;&gt;"",H50="Cloture"),TODAY()-G50,""))</f>
        <v/>
      </c>
      <c r="J50" s="120" t="n"/>
      <c r="K50" s="120" t="n"/>
      <c r="L50" s="120" t="n"/>
      <c r="M50" s="123" t="n"/>
      <c r="N50" s="122" t="n"/>
      <c r="O50" s="118">
        <f>IF(G50&lt;&gt;"",TEXT(G50,"MMMM YYYY"),"")</f>
        <v/>
      </c>
      <c r="P50" s="118">
        <f>IF(G50&lt;&gt;"",YEAR(G50),"")</f>
        <v/>
      </c>
    </row>
    <row r="51" ht="21.75" customHeight="1" s="85">
      <c r="A51" s="112">
        <f>IF(B51&lt;&gt;"",ROW()-2,"")</f>
        <v/>
      </c>
      <c r="B51" s="113" t="n"/>
      <c r="C51" s="113" t="n"/>
      <c r="D51" s="113" t="n"/>
      <c r="E51" s="113" t="n"/>
      <c r="F51" s="113" t="n"/>
      <c r="G51" s="114" t="n"/>
      <c r="H51" s="115" t="n"/>
      <c r="I51" s="116">
        <f>IF(AND(G51&lt;&gt;"",H51="En cours"),TODAY()-G51,IF(AND(G51&lt;&gt;"",H51="Cloture"),TODAY()-G51,""))</f>
        <v/>
      </c>
      <c r="J51" s="113" t="n"/>
      <c r="K51" s="113" t="n"/>
      <c r="L51" s="113" t="n"/>
      <c r="M51" s="117" t="n"/>
      <c r="N51" s="115" t="n"/>
      <c r="O51" s="118">
        <f>IF(G51&lt;&gt;"",TEXT(G51,"MMMM YYYY"),"")</f>
        <v/>
      </c>
      <c r="P51" s="118">
        <f>IF(G51&lt;&gt;"",YEAR(G51),"")</f>
        <v/>
      </c>
    </row>
    <row r="52" ht="21.75" customHeight="1" s="85">
      <c r="A52" s="119">
        <f>IF(B52&lt;&gt;"",ROW()-2,"")</f>
        <v/>
      </c>
      <c r="B52" s="120" t="n"/>
      <c r="C52" s="120" t="n"/>
      <c r="D52" s="120" t="n"/>
      <c r="E52" s="120" t="n"/>
      <c r="F52" s="120" t="n"/>
      <c r="G52" s="121" t="n"/>
      <c r="H52" s="122" t="n"/>
      <c r="I52" s="116">
        <f>IF(AND(G52&lt;&gt;"",H52="En cours"),TODAY()-G52,IF(AND(G52&lt;&gt;"",H52="Cloture"),TODAY()-G52,""))</f>
        <v/>
      </c>
      <c r="J52" s="120" t="n"/>
      <c r="K52" s="120" t="n"/>
      <c r="L52" s="120" t="n"/>
      <c r="M52" s="123" t="n"/>
      <c r="N52" s="122" t="n"/>
      <c r="O52" s="118">
        <f>IF(G52&lt;&gt;"",TEXT(G52,"MMMM YYYY"),"")</f>
        <v/>
      </c>
      <c r="P52" s="118">
        <f>IF(G52&lt;&gt;"",YEAR(G52),"")</f>
        <v/>
      </c>
    </row>
    <row r="53" ht="21.75" customHeight="1" s="85">
      <c r="A53" s="112">
        <f>IF(B53&lt;&gt;"",ROW()-2,"")</f>
        <v/>
      </c>
      <c r="B53" s="113" t="n"/>
      <c r="C53" s="113" t="n"/>
      <c r="D53" s="113" t="n"/>
      <c r="E53" s="113" t="n"/>
      <c r="F53" s="113" t="n"/>
      <c r="G53" s="114" t="n"/>
      <c r="H53" s="115" t="n"/>
      <c r="I53" s="116">
        <f>IF(AND(G53&lt;&gt;"",H53="En cours"),TODAY()-G53,IF(AND(G53&lt;&gt;"",H53="Cloture"),TODAY()-G53,""))</f>
        <v/>
      </c>
      <c r="J53" s="113" t="n"/>
      <c r="K53" s="113" t="n"/>
      <c r="L53" s="113" t="n"/>
      <c r="M53" s="117" t="n"/>
      <c r="N53" s="115" t="n"/>
      <c r="O53" s="118">
        <f>IF(G53&lt;&gt;"",TEXT(G53,"MMMM YYYY"),"")</f>
        <v/>
      </c>
      <c r="P53" s="118">
        <f>IF(G53&lt;&gt;"",YEAR(G53),"")</f>
        <v/>
      </c>
    </row>
    <row r="54" ht="21.75" customHeight="1" s="85">
      <c r="A54" s="119">
        <f>IF(B54&lt;&gt;"",ROW()-2,"")</f>
        <v/>
      </c>
      <c r="B54" s="120" t="n"/>
      <c r="C54" s="120" t="n"/>
      <c r="D54" s="120" t="n"/>
      <c r="E54" s="120" t="n"/>
      <c r="F54" s="120" t="n"/>
      <c r="G54" s="121" t="n"/>
      <c r="H54" s="122" t="n"/>
      <c r="I54" s="116">
        <f>IF(AND(G54&lt;&gt;"",H54="En cours"),TODAY()-G54,IF(AND(G54&lt;&gt;"",H54="Cloture"),TODAY()-G54,""))</f>
        <v/>
      </c>
      <c r="J54" s="120" t="n"/>
      <c r="K54" s="120" t="n"/>
      <c r="L54" s="120" t="n"/>
      <c r="M54" s="123" t="n"/>
      <c r="N54" s="122" t="n"/>
      <c r="O54" s="118">
        <f>IF(G54&lt;&gt;"",TEXT(G54,"MMMM YYYY"),"")</f>
        <v/>
      </c>
      <c r="P54" s="118">
        <f>IF(G54&lt;&gt;"",YEAR(G54),"")</f>
        <v/>
      </c>
    </row>
    <row r="55" ht="21.75" customHeight="1" s="85">
      <c r="A55" s="112">
        <f>IF(B55&lt;&gt;"",ROW()-2,"")</f>
        <v/>
      </c>
      <c r="B55" s="113" t="n"/>
      <c r="C55" s="113" t="n"/>
      <c r="D55" s="113" t="n"/>
      <c r="E55" s="113" t="n"/>
      <c r="F55" s="113" t="n"/>
      <c r="G55" s="114" t="n"/>
      <c r="H55" s="115" t="n"/>
      <c r="I55" s="116">
        <f>IF(AND(G55&lt;&gt;"",H55="En cours"),TODAY()-G55,IF(AND(G55&lt;&gt;"",H55="Cloture"),TODAY()-G55,""))</f>
        <v/>
      </c>
      <c r="J55" s="113" t="n"/>
      <c r="K55" s="113" t="n"/>
      <c r="L55" s="113" t="n"/>
      <c r="M55" s="117" t="n"/>
      <c r="N55" s="115" t="n"/>
      <c r="O55" s="118">
        <f>IF(G55&lt;&gt;"",TEXT(G55,"MMMM YYYY"),"")</f>
        <v/>
      </c>
      <c r="P55" s="118">
        <f>IF(G55&lt;&gt;"",YEAR(G55),"")</f>
        <v/>
      </c>
    </row>
    <row r="56" ht="21.75" customHeight="1" s="85">
      <c r="A56" s="119">
        <f>IF(B56&lt;&gt;"",ROW()-2,"")</f>
        <v/>
      </c>
      <c r="B56" s="120" t="n"/>
      <c r="C56" s="120" t="n"/>
      <c r="D56" s="120" t="n"/>
      <c r="E56" s="120" t="n"/>
      <c r="F56" s="120" t="n"/>
      <c r="G56" s="121" t="n"/>
      <c r="H56" s="122" t="n"/>
      <c r="I56" s="116">
        <f>IF(AND(G56&lt;&gt;"",H56="En cours"),TODAY()-G56,IF(AND(G56&lt;&gt;"",H56="Cloture"),TODAY()-G56,""))</f>
        <v/>
      </c>
      <c r="J56" s="120" t="n"/>
      <c r="K56" s="120" t="n"/>
      <c r="L56" s="120" t="n"/>
      <c r="M56" s="123" t="n"/>
      <c r="N56" s="122" t="n"/>
      <c r="O56" s="118">
        <f>IF(G56&lt;&gt;"",TEXT(G56,"MMMM YYYY"),"")</f>
        <v/>
      </c>
      <c r="P56" s="118">
        <f>IF(G56&lt;&gt;"",YEAR(G56),"")</f>
        <v/>
      </c>
    </row>
    <row r="57" ht="21.75" customHeight="1" s="85">
      <c r="A57" s="112">
        <f>IF(B57&lt;&gt;"",ROW()-2,"")</f>
        <v/>
      </c>
      <c r="B57" s="113" t="n"/>
      <c r="C57" s="113" t="n"/>
      <c r="D57" s="113" t="n"/>
      <c r="E57" s="113" t="n"/>
      <c r="F57" s="113" t="n"/>
      <c r="G57" s="114" t="n"/>
      <c r="H57" s="115" t="n"/>
      <c r="I57" s="116">
        <f>IF(AND(G57&lt;&gt;"",H57="En cours"),TODAY()-G57,IF(AND(G57&lt;&gt;"",H57="Cloture"),TODAY()-G57,""))</f>
        <v/>
      </c>
      <c r="J57" s="113" t="n"/>
      <c r="K57" s="113" t="n"/>
      <c r="L57" s="113" t="n"/>
      <c r="M57" s="117" t="n"/>
      <c r="N57" s="115" t="n"/>
      <c r="O57" s="118">
        <f>IF(G57&lt;&gt;"",TEXT(G57,"MMMM YYYY"),"")</f>
        <v/>
      </c>
      <c r="P57" s="118">
        <f>IF(G57&lt;&gt;"",YEAR(G57),"")</f>
        <v/>
      </c>
    </row>
    <row r="58" ht="21.75" customHeight="1" s="85">
      <c r="A58" s="119">
        <f>IF(B58&lt;&gt;"",ROW()-2,"")</f>
        <v/>
      </c>
      <c r="B58" s="120" t="n"/>
      <c r="C58" s="120" t="n"/>
      <c r="D58" s="120" t="n"/>
      <c r="E58" s="120" t="n"/>
      <c r="F58" s="120" t="n"/>
      <c r="G58" s="121" t="n"/>
      <c r="H58" s="122" t="n"/>
      <c r="I58" s="116">
        <f>IF(AND(G58&lt;&gt;"",H58="En cours"),TODAY()-G58,IF(AND(G58&lt;&gt;"",H58="Cloture"),TODAY()-G58,""))</f>
        <v/>
      </c>
      <c r="J58" s="120" t="n"/>
      <c r="K58" s="120" t="n"/>
      <c r="L58" s="120" t="n"/>
      <c r="M58" s="123" t="n"/>
      <c r="N58" s="122" t="n"/>
      <c r="O58" s="118">
        <f>IF(G58&lt;&gt;"",TEXT(G58,"MMMM YYYY"),"")</f>
        <v/>
      </c>
      <c r="P58" s="118">
        <f>IF(G58&lt;&gt;"",YEAR(G58),"")</f>
        <v/>
      </c>
    </row>
    <row r="59" ht="21.75" customHeight="1" s="85">
      <c r="A59" s="112">
        <f>IF(B59&lt;&gt;"",ROW()-2,"")</f>
        <v/>
      </c>
      <c r="B59" s="113" t="n"/>
      <c r="C59" s="113" t="n"/>
      <c r="D59" s="113" t="n"/>
      <c r="E59" s="113" t="n"/>
      <c r="F59" s="113" t="n"/>
      <c r="G59" s="114" t="n"/>
      <c r="H59" s="115" t="n"/>
      <c r="I59" s="116">
        <f>IF(AND(G59&lt;&gt;"",H59="En cours"),TODAY()-G59,IF(AND(G59&lt;&gt;"",H59="Cloture"),TODAY()-G59,""))</f>
        <v/>
      </c>
      <c r="J59" s="113" t="n"/>
      <c r="K59" s="113" t="n"/>
      <c r="L59" s="113" t="n"/>
      <c r="M59" s="117" t="n"/>
      <c r="N59" s="115" t="n"/>
      <c r="O59" s="118">
        <f>IF(G59&lt;&gt;"",TEXT(G59,"MMMM YYYY"),"")</f>
        <v/>
      </c>
      <c r="P59" s="118">
        <f>IF(G59&lt;&gt;"",YEAR(G59),"")</f>
        <v/>
      </c>
    </row>
    <row r="60" ht="21.75" customHeight="1" s="85">
      <c r="A60" s="119">
        <f>IF(B60&lt;&gt;"",ROW()-2,"")</f>
        <v/>
      </c>
      <c r="B60" s="120" t="n"/>
      <c r="C60" s="120" t="n"/>
      <c r="D60" s="120" t="n"/>
      <c r="E60" s="120" t="n"/>
      <c r="F60" s="120" t="n"/>
      <c r="G60" s="121" t="n"/>
      <c r="H60" s="122" t="n"/>
      <c r="I60" s="116">
        <f>IF(AND(G60&lt;&gt;"",H60="En cours"),TODAY()-G60,IF(AND(G60&lt;&gt;"",H60="Cloture"),TODAY()-G60,""))</f>
        <v/>
      </c>
      <c r="J60" s="120" t="n"/>
      <c r="K60" s="120" t="n"/>
      <c r="L60" s="120" t="n"/>
      <c r="M60" s="123" t="n"/>
      <c r="N60" s="122" t="n"/>
      <c r="O60" s="118">
        <f>IF(G60&lt;&gt;"",TEXT(G60,"MMMM YYYY"),"")</f>
        <v/>
      </c>
      <c r="P60" s="118">
        <f>IF(G60&lt;&gt;"",YEAR(G60),"")</f>
        <v/>
      </c>
    </row>
    <row r="61" ht="21.75" customHeight="1" s="85">
      <c r="A61" s="112">
        <f>IF(B61&lt;&gt;"",ROW()-2,"")</f>
        <v/>
      </c>
      <c r="B61" s="113" t="n"/>
      <c r="C61" s="113" t="n"/>
      <c r="D61" s="113" t="n"/>
      <c r="E61" s="113" t="n"/>
      <c r="F61" s="113" t="n"/>
      <c r="G61" s="114" t="n"/>
      <c r="H61" s="115" t="n"/>
      <c r="I61" s="116">
        <f>IF(AND(G61&lt;&gt;"",H61="En cours"),TODAY()-G61,IF(AND(G61&lt;&gt;"",H61="Cloture"),TODAY()-G61,""))</f>
        <v/>
      </c>
      <c r="J61" s="113" t="n"/>
      <c r="K61" s="113" t="n"/>
      <c r="L61" s="113" t="n"/>
      <c r="M61" s="117" t="n"/>
      <c r="N61" s="115" t="n"/>
      <c r="O61" s="118">
        <f>IF(G61&lt;&gt;"",TEXT(G61,"MMMM YYYY"),"")</f>
        <v/>
      </c>
      <c r="P61" s="118">
        <f>IF(G61&lt;&gt;"",YEAR(G61),"")</f>
        <v/>
      </c>
    </row>
    <row r="62" ht="21.75" customHeight="1" s="85">
      <c r="A62" s="119">
        <f>IF(B62&lt;&gt;"",ROW()-2,"")</f>
        <v/>
      </c>
      <c r="B62" s="120" t="n"/>
      <c r="C62" s="120" t="n"/>
      <c r="D62" s="120" t="n"/>
      <c r="E62" s="120" t="n"/>
      <c r="F62" s="120" t="n"/>
      <c r="G62" s="121" t="n"/>
      <c r="H62" s="122" t="n"/>
      <c r="I62" s="116">
        <f>IF(AND(G62&lt;&gt;"",H62="En cours"),TODAY()-G62,IF(AND(G62&lt;&gt;"",H62="Cloture"),TODAY()-G62,""))</f>
        <v/>
      </c>
      <c r="J62" s="120" t="n"/>
      <c r="K62" s="120" t="n"/>
      <c r="L62" s="120" t="n"/>
      <c r="M62" s="123" t="n"/>
      <c r="N62" s="122" t="n"/>
      <c r="O62" s="118">
        <f>IF(G62&lt;&gt;"",TEXT(G62,"MMMM YYYY"),"")</f>
        <v/>
      </c>
      <c r="P62" s="118">
        <f>IF(G62&lt;&gt;"",YEAR(G62),"")</f>
        <v/>
      </c>
    </row>
    <row r="63" ht="21.75" customHeight="1" s="85">
      <c r="A63" s="112">
        <f>IF(B63&lt;&gt;"",ROW()-2,"")</f>
        <v/>
      </c>
      <c r="B63" s="113" t="n"/>
      <c r="C63" s="113" t="n"/>
      <c r="D63" s="113" t="n"/>
      <c r="E63" s="113" t="n"/>
      <c r="F63" s="113" t="n"/>
      <c r="G63" s="114" t="n"/>
      <c r="H63" s="115" t="n"/>
      <c r="I63" s="116">
        <f>IF(AND(G63&lt;&gt;"",H63="En cours"),TODAY()-G63,IF(AND(G63&lt;&gt;"",H63="Cloture"),TODAY()-G63,""))</f>
        <v/>
      </c>
      <c r="J63" s="113" t="n"/>
      <c r="K63" s="113" t="n"/>
      <c r="L63" s="113" t="n"/>
      <c r="M63" s="117" t="n"/>
      <c r="N63" s="115" t="n"/>
      <c r="O63" s="118">
        <f>IF(G63&lt;&gt;"",TEXT(G63,"MMMM YYYY"),"")</f>
        <v/>
      </c>
      <c r="P63" s="118">
        <f>IF(G63&lt;&gt;"",YEAR(G63),"")</f>
        <v/>
      </c>
    </row>
    <row r="64" ht="21.75" customHeight="1" s="85">
      <c r="A64" s="119">
        <f>IF(B64&lt;&gt;"",ROW()-2,"")</f>
        <v/>
      </c>
      <c r="B64" s="120" t="n"/>
      <c r="C64" s="120" t="n"/>
      <c r="D64" s="120" t="n"/>
      <c r="E64" s="120" t="n"/>
      <c r="F64" s="120" t="n"/>
      <c r="G64" s="121" t="n"/>
      <c r="H64" s="122" t="n"/>
      <c r="I64" s="116">
        <f>IF(AND(G64&lt;&gt;"",H64="En cours"),TODAY()-G64,IF(AND(G64&lt;&gt;"",H64="Cloture"),TODAY()-G64,""))</f>
        <v/>
      </c>
      <c r="J64" s="120" t="n"/>
      <c r="K64" s="120" t="n"/>
      <c r="L64" s="120" t="n"/>
      <c r="M64" s="123" t="n"/>
      <c r="N64" s="122" t="n"/>
      <c r="O64" s="118">
        <f>IF(G64&lt;&gt;"",TEXT(G64,"MMMM YYYY"),"")</f>
        <v/>
      </c>
      <c r="P64" s="118">
        <f>IF(G64&lt;&gt;"",YEAR(G64),"")</f>
        <v/>
      </c>
    </row>
    <row r="65" ht="21.75" customHeight="1" s="85">
      <c r="A65" s="112">
        <f>IF(B65&lt;&gt;"",ROW()-2,"")</f>
        <v/>
      </c>
      <c r="B65" s="113" t="n"/>
      <c r="C65" s="113" t="n"/>
      <c r="D65" s="113" t="n"/>
      <c r="E65" s="113" t="n"/>
      <c r="F65" s="113" t="n"/>
      <c r="G65" s="114" t="n"/>
      <c r="H65" s="115" t="n"/>
      <c r="I65" s="116">
        <f>IF(AND(G65&lt;&gt;"",H65="En cours"),TODAY()-G65,IF(AND(G65&lt;&gt;"",H65="Cloture"),TODAY()-G65,""))</f>
        <v/>
      </c>
      <c r="J65" s="113" t="n"/>
      <c r="K65" s="113" t="n"/>
      <c r="L65" s="113" t="n"/>
      <c r="M65" s="117" t="n"/>
      <c r="N65" s="115" t="n"/>
      <c r="O65" s="118">
        <f>IF(G65&lt;&gt;"",TEXT(G65,"MMMM YYYY"),"")</f>
        <v/>
      </c>
      <c r="P65" s="118">
        <f>IF(G65&lt;&gt;"",YEAR(G65),"")</f>
        <v/>
      </c>
    </row>
    <row r="66" ht="21.75" customHeight="1" s="85">
      <c r="A66" s="119">
        <f>IF(B66&lt;&gt;"",ROW()-2,"")</f>
        <v/>
      </c>
      <c r="B66" s="120" t="n"/>
      <c r="C66" s="120" t="n"/>
      <c r="D66" s="120" t="n"/>
      <c r="E66" s="120" t="n"/>
      <c r="F66" s="120" t="n"/>
      <c r="G66" s="121" t="n"/>
      <c r="H66" s="122" t="n"/>
      <c r="I66" s="116">
        <f>IF(AND(G66&lt;&gt;"",H66="En cours"),TODAY()-G66,IF(AND(G66&lt;&gt;"",H66="Cloture"),TODAY()-G66,""))</f>
        <v/>
      </c>
      <c r="J66" s="120" t="n"/>
      <c r="K66" s="120" t="n"/>
      <c r="L66" s="120" t="n"/>
      <c r="M66" s="123" t="n"/>
      <c r="N66" s="122" t="n"/>
      <c r="O66" s="118">
        <f>IF(G66&lt;&gt;"",TEXT(G66,"MMMM YYYY"),"")</f>
        <v/>
      </c>
      <c r="P66" s="118">
        <f>IF(G66&lt;&gt;"",YEAR(G66),"")</f>
        <v/>
      </c>
    </row>
    <row r="67" ht="21.75" customHeight="1" s="85">
      <c r="A67" s="112">
        <f>IF(B67&lt;&gt;"",ROW()-2,"")</f>
        <v/>
      </c>
      <c r="B67" s="113" t="n"/>
      <c r="C67" s="113" t="n"/>
      <c r="D67" s="113" t="n"/>
      <c r="E67" s="113" t="n"/>
      <c r="F67" s="113" t="n"/>
      <c r="G67" s="114" t="n"/>
      <c r="H67" s="115" t="n"/>
      <c r="I67" s="116">
        <f>IF(AND(G67&lt;&gt;"",H67="En cours"),TODAY()-G67,IF(AND(G67&lt;&gt;"",H67="Cloture"),TODAY()-G67,""))</f>
        <v/>
      </c>
      <c r="J67" s="113" t="n"/>
      <c r="K67" s="113" t="n"/>
      <c r="L67" s="113" t="n"/>
      <c r="M67" s="117" t="n"/>
      <c r="N67" s="115" t="n"/>
      <c r="O67" s="118">
        <f>IF(G67&lt;&gt;"",TEXT(G67,"MMMM YYYY"),"")</f>
        <v/>
      </c>
      <c r="P67" s="118">
        <f>IF(G67&lt;&gt;"",YEAR(G67),"")</f>
        <v/>
      </c>
    </row>
    <row r="68" ht="21.75" customHeight="1" s="85">
      <c r="A68" s="119">
        <f>IF(B68&lt;&gt;"",ROW()-2,"")</f>
        <v/>
      </c>
      <c r="B68" s="120" t="n"/>
      <c r="C68" s="120" t="n"/>
      <c r="D68" s="120" t="n"/>
      <c r="E68" s="120" t="n"/>
      <c r="F68" s="120" t="n"/>
      <c r="G68" s="121" t="n"/>
      <c r="H68" s="122" t="n"/>
      <c r="I68" s="116">
        <f>IF(AND(G68&lt;&gt;"",H68="En cours"),TODAY()-G68,IF(AND(G68&lt;&gt;"",H68="Cloture"),TODAY()-G68,""))</f>
        <v/>
      </c>
      <c r="J68" s="120" t="n"/>
      <c r="K68" s="120" t="n"/>
      <c r="L68" s="120" t="n"/>
      <c r="M68" s="123" t="n"/>
      <c r="N68" s="122" t="n"/>
      <c r="O68" s="118">
        <f>IF(G68&lt;&gt;"",TEXT(G68,"MMMM YYYY"),"")</f>
        <v/>
      </c>
      <c r="P68" s="118">
        <f>IF(G68&lt;&gt;"",YEAR(G68),"")</f>
        <v/>
      </c>
    </row>
    <row r="69" ht="21.75" customHeight="1" s="85">
      <c r="A69" s="112">
        <f>IF(B69&lt;&gt;"",ROW()-2,"")</f>
        <v/>
      </c>
      <c r="B69" s="113" t="n"/>
      <c r="C69" s="113" t="n"/>
      <c r="D69" s="113" t="n"/>
      <c r="E69" s="113" t="n"/>
      <c r="F69" s="113" t="n"/>
      <c r="G69" s="114" t="n"/>
      <c r="H69" s="115" t="n"/>
      <c r="I69" s="116">
        <f>IF(AND(G69&lt;&gt;"",H69="En cours"),TODAY()-G69,IF(AND(G69&lt;&gt;"",H69="Cloture"),TODAY()-G69,""))</f>
        <v/>
      </c>
      <c r="J69" s="113" t="n"/>
      <c r="K69" s="113" t="n"/>
      <c r="L69" s="113" t="n"/>
      <c r="M69" s="117" t="n"/>
      <c r="N69" s="115" t="n"/>
      <c r="O69" s="118">
        <f>IF(G69&lt;&gt;"",TEXT(G69,"MMMM YYYY"),"")</f>
        <v/>
      </c>
      <c r="P69" s="118">
        <f>IF(G69&lt;&gt;"",YEAR(G69),"")</f>
        <v/>
      </c>
    </row>
    <row r="70" ht="21.75" customHeight="1" s="85">
      <c r="A70" s="119">
        <f>IF(B70&lt;&gt;"",ROW()-2,"")</f>
        <v/>
      </c>
      <c r="B70" s="120" t="n"/>
      <c r="C70" s="120" t="n"/>
      <c r="D70" s="120" t="n"/>
      <c r="E70" s="120" t="n"/>
      <c r="F70" s="120" t="n"/>
      <c r="G70" s="121" t="n"/>
      <c r="H70" s="122" t="n"/>
      <c r="I70" s="116">
        <f>IF(AND(G70&lt;&gt;"",H70="En cours"),TODAY()-G70,IF(AND(G70&lt;&gt;"",H70="Cloture"),TODAY()-G70,""))</f>
        <v/>
      </c>
      <c r="J70" s="120" t="n"/>
      <c r="K70" s="120" t="n"/>
      <c r="L70" s="120" t="n"/>
      <c r="M70" s="123" t="n"/>
      <c r="N70" s="122" t="n"/>
      <c r="O70" s="118">
        <f>IF(G70&lt;&gt;"",TEXT(G70,"MMMM YYYY"),"")</f>
        <v/>
      </c>
      <c r="P70" s="118">
        <f>IF(G70&lt;&gt;"",YEAR(G70),"")</f>
        <v/>
      </c>
    </row>
    <row r="71" ht="21.75" customHeight="1" s="85">
      <c r="A71" s="112">
        <f>IF(B71&lt;&gt;"",ROW()-2,"")</f>
        <v/>
      </c>
      <c r="B71" s="113" t="n"/>
      <c r="C71" s="113" t="n"/>
      <c r="D71" s="113" t="n"/>
      <c r="E71" s="113" t="n"/>
      <c r="F71" s="113" t="n"/>
      <c r="G71" s="114" t="n"/>
      <c r="H71" s="115" t="n"/>
      <c r="I71" s="116">
        <f>IF(AND(G71&lt;&gt;"",H71="En cours"),TODAY()-G71,IF(AND(G71&lt;&gt;"",H71="Cloture"),TODAY()-G71,""))</f>
        <v/>
      </c>
      <c r="J71" s="113" t="n"/>
      <c r="K71" s="113" t="n"/>
      <c r="L71" s="113" t="n"/>
      <c r="M71" s="117" t="n"/>
      <c r="N71" s="115" t="n"/>
      <c r="O71" s="118">
        <f>IF(G71&lt;&gt;"",TEXT(G71,"MMMM YYYY"),"")</f>
        <v/>
      </c>
      <c r="P71" s="118">
        <f>IF(G71&lt;&gt;"",YEAR(G71),"")</f>
        <v/>
      </c>
    </row>
    <row r="72" ht="21.75" customHeight="1" s="85">
      <c r="A72" s="119">
        <f>IF(B72&lt;&gt;"",ROW()-2,"")</f>
        <v/>
      </c>
      <c r="B72" s="120" t="n"/>
      <c r="C72" s="120" t="n"/>
      <c r="D72" s="120" t="n"/>
      <c r="E72" s="120" t="n"/>
      <c r="F72" s="120" t="n"/>
      <c r="G72" s="121" t="n"/>
      <c r="H72" s="122" t="n"/>
      <c r="I72" s="116">
        <f>IF(AND(G72&lt;&gt;"",H72="En cours"),TODAY()-G72,IF(AND(G72&lt;&gt;"",H72="Cloture"),TODAY()-G72,""))</f>
        <v/>
      </c>
      <c r="J72" s="120" t="n"/>
      <c r="K72" s="120" t="n"/>
      <c r="L72" s="120" t="n"/>
      <c r="M72" s="123" t="n"/>
      <c r="N72" s="122" t="n"/>
      <c r="O72" s="118">
        <f>IF(G72&lt;&gt;"",TEXT(G72,"MMMM YYYY"),"")</f>
        <v/>
      </c>
      <c r="P72" s="118">
        <f>IF(G72&lt;&gt;"",YEAR(G72),"")</f>
        <v/>
      </c>
    </row>
    <row r="73" ht="21.75" customHeight="1" s="85">
      <c r="A73" s="112">
        <f>IF(B73&lt;&gt;"",ROW()-2,"")</f>
        <v/>
      </c>
      <c r="B73" s="113" t="n"/>
      <c r="C73" s="113" t="n"/>
      <c r="D73" s="113" t="n"/>
      <c r="E73" s="113" t="n"/>
      <c r="F73" s="113" t="n"/>
      <c r="G73" s="114" t="n"/>
      <c r="H73" s="115" t="n"/>
      <c r="I73" s="116">
        <f>IF(AND(G73&lt;&gt;"",H73="En cours"),TODAY()-G73,IF(AND(G73&lt;&gt;"",H73="Cloture"),TODAY()-G73,""))</f>
        <v/>
      </c>
      <c r="J73" s="113" t="n"/>
      <c r="K73" s="113" t="n"/>
      <c r="L73" s="113" t="n"/>
      <c r="M73" s="117" t="n"/>
      <c r="N73" s="115" t="n"/>
      <c r="O73" s="118">
        <f>IF(G73&lt;&gt;"",TEXT(G73,"MMMM YYYY"),"")</f>
        <v/>
      </c>
      <c r="P73" s="118">
        <f>IF(G73&lt;&gt;"",YEAR(G73),"")</f>
        <v/>
      </c>
    </row>
    <row r="74" ht="21.75" customHeight="1" s="85">
      <c r="A74" s="119">
        <f>IF(B74&lt;&gt;"",ROW()-2,"")</f>
        <v/>
      </c>
      <c r="B74" s="120" t="n"/>
      <c r="C74" s="120" t="n"/>
      <c r="D74" s="120" t="n"/>
      <c r="E74" s="120" t="n"/>
      <c r="F74" s="120" t="n"/>
      <c r="G74" s="121" t="n"/>
      <c r="H74" s="122" t="n"/>
      <c r="I74" s="116">
        <f>IF(AND(G74&lt;&gt;"",H74="En cours"),TODAY()-G74,IF(AND(G74&lt;&gt;"",H74="Cloture"),TODAY()-G74,""))</f>
        <v/>
      </c>
      <c r="J74" s="120" t="n"/>
      <c r="K74" s="120" t="n"/>
      <c r="L74" s="120" t="n"/>
      <c r="M74" s="123" t="n"/>
      <c r="N74" s="122" t="n"/>
      <c r="O74" s="118">
        <f>IF(G74&lt;&gt;"",TEXT(G74,"MMMM YYYY"),"")</f>
        <v/>
      </c>
      <c r="P74" s="118">
        <f>IF(G74&lt;&gt;"",YEAR(G74),"")</f>
        <v/>
      </c>
    </row>
    <row r="75" ht="21.75" customHeight="1" s="85">
      <c r="A75" s="112">
        <f>IF(B75&lt;&gt;"",ROW()-2,"")</f>
        <v/>
      </c>
      <c r="B75" s="113" t="n"/>
      <c r="C75" s="113" t="n"/>
      <c r="D75" s="113" t="n"/>
      <c r="E75" s="113" t="n"/>
      <c r="F75" s="113" t="n"/>
      <c r="G75" s="114" t="n"/>
      <c r="H75" s="115" t="n"/>
      <c r="I75" s="116">
        <f>IF(AND(G75&lt;&gt;"",H75="En cours"),TODAY()-G75,IF(AND(G75&lt;&gt;"",H75="Cloture"),TODAY()-G75,""))</f>
        <v/>
      </c>
      <c r="J75" s="113" t="n"/>
      <c r="K75" s="113" t="n"/>
      <c r="L75" s="113" t="n"/>
      <c r="M75" s="117" t="n"/>
      <c r="N75" s="115" t="n"/>
      <c r="O75" s="118">
        <f>IF(G75&lt;&gt;"",TEXT(G75,"MMMM YYYY"),"")</f>
        <v/>
      </c>
      <c r="P75" s="118">
        <f>IF(G75&lt;&gt;"",YEAR(G75),"")</f>
        <v/>
      </c>
    </row>
    <row r="76" ht="21.75" customHeight="1" s="85">
      <c r="A76" s="119">
        <f>IF(B76&lt;&gt;"",ROW()-2,"")</f>
        <v/>
      </c>
      <c r="B76" s="120" t="n"/>
      <c r="C76" s="120" t="n"/>
      <c r="D76" s="120" t="n"/>
      <c r="E76" s="120" t="n"/>
      <c r="F76" s="120" t="n"/>
      <c r="G76" s="121" t="n"/>
      <c r="H76" s="122" t="n"/>
      <c r="I76" s="116">
        <f>IF(AND(G76&lt;&gt;"",H76="En cours"),TODAY()-G76,IF(AND(G76&lt;&gt;"",H76="Cloture"),TODAY()-G76,""))</f>
        <v/>
      </c>
      <c r="J76" s="120" t="n"/>
      <c r="K76" s="120" t="n"/>
      <c r="L76" s="120" t="n"/>
      <c r="M76" s="123" t="n"/>
      <c r="N76" s="122" t="n"/>
      <c r="O76" s="118">
        <f>IF(G76&lt;&gt;"",TEXT(G76,"MMMM YYYY"),"")</f>
        <v/>
      </c>
      <c r="P76" s="118">
        <f>IF(G76&lt;&gt;"",YEAR(G76),"")</f>
        <v/>
      </c>
    </row>
    <row r="77" ht="21.75" customHeight="1" s="85">
      <c r="A77" s="112">
        <f>IF(B77&lt;&gt;"",ROW()-2,"")</f>
        <v/>
      </c>
      <c r="B77" s="113" t="n"/>
      <c r="C77" s="113" t="n"/>
      <c r="D77" s="113" t="n"/>
      <c r="E77" s="113" t="n"/>
      <c r="F77" s="113" t="n"/>
      <c r="G77" s="114" t="n"/>
      <c r="H77" s="115" t="n"/>
      <c r="I77" s="116">
        <f>IF(AND(G77&lt;&gt;"",H77="En cours"),TODAY()-G77,IF(AND(G77&lt;&gt;"",H77="Cloture"),TODAY()-G77,""))</f>
        <v/>
      </c>
      <c r="J77" s="113" t="n"/>
      <c r="K77" s="113" t="n"/>
      <c r="L77" s="113" t="n"/>
      <c r="M77" s="117" t="n"/>
      <c r="N77" s="115" t="n"/>
      <c r="O77" s="118">
        <f>IF(G77&lt;&gt;"",TEXT(G77,"MMMM YYYY"),"")</f>
        <v/>
      </c>
      <c r="P77" s="118">
        <f>IF(G77&lt;&gt;"",YEAR(G77),"")</f>
        <v/>
      </c>
    </row>
    <row r="78" ht="21.75" customHeight="1" s="85">
      <c r="A78" s="119">
        <f>IF(B78&lt;&gt;"",ROW()-2,"")</f>
        <v/>
      </c>
      <c r="B78" s="120" t="n"/>
      <c r="C78" s="120" t="n"/>
      <c r="D78" s="120" t="n"/>
      <c r="E78" s="120" t="n"/>
      <c r="F78" s="120" t="n"/>
      <c r="G78" s="121" t="n"/>
      <c r="H78" s="122" t="n"/>
      <c r="I78" s="116">
        <f>IF(AND(G78&lt;&gt;"",H78="En cours"),TODAY()-G78,IF(AND(G78&lt;&gt;"",H78="Cloture"),TODAY()-G78,""))</f>
        <v/>
      </c>
      <c r="J78" s="120" t="n"/>
      <c r="K78" s="120" t="n"/>
      <c r="L78" s="120" t="n"/>
      <c r="M78" s="123" t="n"/>
      <c r="N78" s="122" t="n"/>
      <c r="O78" s="118">
        <f>IF(G78&lt;&gt;"",TEXT(G78,"MMMM YYYY"),"")</f>
        <v/>
      </c>
      <c r="P78" s="118">
        <f>IF(G78&lt;&gt;"",YEAR(G78),"")</f>
        <v/>
      </c>
    </row>
    <row r="79" ht="21.75" customHeight="1" s="85">
      <c r="A79" s="112">
        <f>IF(B79&lt;&gt;"",ROW()-2,"")</f>
        <v/>
      </c>
      <c r="B79" s="113" t="n"/>
      <c r="C79" s="113" t="n"/>
      <c r="D79" s="113" t="n"/>
      <c r="E79" s="113" t="n"/>
      <c r="F79" s="113" t="n"/>
      <c r="G79" s="114" t="n"/>
      <c r="H79" s="115" t="n"/>
      <c r="I79" s="116">
        <f>IF(AND(G79&lt;&gt;"",H79="En cours"),TODAY()-G79,IF(AND(G79&lt;&gt;"",H79="Cloture"),TODAY()-G79,""))</f>
        <v/>
      </c>
      <c r="J79" s="113" t="n"/>
      <c r="K79" s="113" t="n"/>
      <c r="L79" s="113" t="n"/>
      <c r="M79" s="117" t="n"/>
      <c r="N79" s="115" t="n"/>
      <c r="O79" s="118">
        <f>IF(G79&lt;&gt;"",TEXT(G79,"MMMM YYYY"),"")</f>
        <v/>
      </c>
      <c r="P79" s="118">
        <f>IF(G79&lt;&gt;"",YEAR(G79),"")</f>
        <v/>
      </c>
    </row>
    <row r="80" ht="21.75" customHeight="1" s="85">
      <c r="A80" s="119">
        <f>IF(B80&lt;&gt;"",ROW()-2,"")</f>
        <v/>
      </c>
      <c r="B80" s="120" t="n"/>
      <c r="C80" s="120" t="n"/>
      <c r="D80" s="120" t="n"/>
      <c r="E80" s="120" t="n"/>
      <c r="F80" s="120" t="n"/>
      <c r="G80" s="121" t="n"/>
      <c r="H80" s="122" t="n"/>
      <c r="I80" s="116">
        <f>IF(AND(G80&lt;&gt;"",H80="En cours"),TODAY()-G80,IF(AND(G80&lt;&gt;"",H80="Cloture"),TODAY()-G80,""))</f>
        <v/>
      </c>
      <c r="J80" s="120" t="n"/>
      <c r="K80" s="120" t="n"/>
      <c r="L80" s="120" t="n"/>
      <c r="M80" s="123" t="n"/>
      <c r="N80" s="122" t="n"/>
      <c r="O80" s="118">
        <f>IF(G80&lt;&gt;"",TEXT(G80,"MMMM YYYY"),"")</f>
        <v/>
      </c>
      <c r="P80" s="118">
        <f>IF(G80&lt;&gt;"",YEAR(G80),"")</f>
        <v/>
      </c>
    </row>
    <row r="81" ht="21.75" customHeight="1" s="85">
      <c r="A81" s="112">
        <f>IF(B81&lt;&gt;"",ROW()-2,"")</f>
        <v/>
      </c>
      <c r="B81" s="113" t="n"/>
      <c r="C81" s="113" t="n"/>
      <c r="D81" s="113" t="n"/>
      <c r="E81" s="113" t="n"/>
      <c r="F81" s="113" t="n"/>
      <c r="G81" s="114" t="n"/>
      <c r="H81" s="115" t="n"/>
      <c r="I81" s="116">
        <f>IF(AND(G81&lt;&gt;"",H81="En cours"),TODAY()-G81,IF(AND(G81&lt;&gt;"",H81="Cloture"),TODAY()-G81,""))</f>
        <v/>
      </c>
      <c r="J81" s="113" t="n"/>
      <c r="K81" s="113" t="n"/>
      <c r="L81" s="113" t="n"/>
      <c r="M81" s="117" t="n"/>
      <c r="N81" s="115" t="n"/>
      <c r="O81" s="118">
        <f>IF(G81&lt;&gt;"",TEXT(G81,"MMMM YYYY"),"")</f>
        <v/>
      </c>
      <c r="P81" s="118">
        <f>IF(G81&lt;&gt;"",YEAR(G81),"")</f>
        <v/>
      </c>
    </row>
    <row r="82" ht="21.75" customHeight="1" s="85">
      <c r="A82" s="119">
        <f>IF(B82&lt;&gt;"",ROW()-2,"")</f>
        <v/>
      </c>
      <c r="B82" s="120" t="n"/>
      <c r="C82" s="120" t="n"/>
      <c r="D82" s="120" t="n"/>
      <c r="E82" s="120" t="n"/>
      <c r="F82" s="120" t="n"/>
      <c r="G82" s="121" t="n"/>
      <c r="H82" s="122" t="n"/>
      <c r="I82" s="116">
        <f>IF(AND(G82&lt;&gt;"",H82="En cours"),TODAY()-G82,IF(AND(G82&lt;&gt;"",H82="Cloture"),TODAY()-G82,""))</f>
        <v/>
      </c>
      <c r="J82" s="120" t="n"/>
      <c r="K82" s="120" t="n"/>
      <c r="L82" s="120" t="n"/>
      <c r="M82" s="123" t="n"/>
      <c r="N82" s="122" t="n"/>
      <c r="O82" s="118">
        <f>IF(G82&lt;&gt;"",TEXT(G82,"MMMM YYYY"),"")</f>
        <v/>
      </c>
      <c r="P82" s="118">
        <f>IF(G82&lt;&gt;"",YEAR(G82),"")</f>
        <v/>
      </c>
    </row>
    <row r="83" ht="21.75" customHeight="1" s="85">
      <c r="A83" s="112">
        <f>IF(B83&lt;&gt;"",ROW()-2,"")</f>
        <v/>
      </c>
      <c r="B83" s="113" t="n"/>
      <c r="C83" s="113" t="n"/>
      <c r="D83" s="113" t="n"/>
      <c r="E83" s="113" t="n"/>
      <c r="F83" s="113" t="n"/>
      <c r="G83" s="114" t="n"/>
      <c r="H83" s="115" t="n"/>
      <c r="I83" s="116">
        <f>IF(AND(G83&lt;&gt;"",H83="En cours"),TODAY()-G83,IF(AND(G83&lt;&gt;"",H83="Cloture"),TODAY()-G83,""))</f>
        <v/>
      </c>
      <c r="J83" s="113" t="n"/>
      <c r="K83" s="113" t="n"/>
      <c r="L83" s="113" t="n"/>
      <c r="M83" s="117" t="n"/>
      <c r="N83" s="115" t="n"/>
      <c r="O83" s="118">
        <f>IF(G83&lt;&gt;"",TEXT(G83,"MMMM YYYY"),"")</f>
        <v/>
      </c>
      <c r="P83" s="118">
        <f>IF(G83&lt;&gt;"",YEAR(G83),"")</f>
        <v/>
      </c>
    </row>
    <row r="84" ht="21.75" customHeight="1" s="85">
      <c r="A84" s="119">
        <f>IF(B84&lt;&gt;"",ROW()-2,"")</f>
        <v/>
      </c>
      <c r="B84" s="120" t="n"/>
      <c r="C84" s="120" t="n"/>
      <c r="D84" s="120" t="n"/>
      <c r="E84" s="120" t="n"/>
      <c r="F84" s="120" t="n"/>
      <c r="G84" s="121" t="n"/>
      <c r="H84" s="122" t="n"/>
      <c r="I84" s="116">
        <f>IF(AND(G84&lt;&gt;"",H84="En cours"),TODAY()-G84,IF(AND(G84&lt;&gt;"",H84="Cloture"),TODAY()-G84,""))</f>
        <v/>
      </c>
      <c r="J84" s="120" t="n"/>
      <c r="K84" s="120" t="n"/>
      <c r="L84" s="120" t="n"/>
      <c r="M84" s="123" t="n"/>
      <c r="N84" s="122" t="n"/>
      <c r="O84" s="118">
        <f>IF(G84&lt;&gt;"",TEXT(G84,"MMMM YYYY"),"")</f>
        <v/>
      </c>
      <c r="P84" s="118">
        <f>IF(G84&lt;&gt;"",YEAR(G84),"")</f>
        <v/>
      </c>
    </row>
    <row r="85" ht="21.75" customHeight="1" s="85">
      <c r="A85" s="112">
        <f>IF(B85&lt;&gt;"",ROW()-2,"")</f>
        <v/>
      </c>
      <c r="B85" s="113" t="n"/>
      <c r="C85" s="113" t="n"/>
      <c r="D85" s="113" t="n"/>
      <c r="E85" s="113" t="n"/>
      <c r="F85" s="113" t="n"/>
      <c r="G85" s="114" t="n"/>
      <c r="H85" s="115" t="n"/>
      <c r="I85" s="116">
        <f>IF(AND(G85&lt;&gt;"",H85="En cours"),TODAY()-G85,IF(AND(G85&lt;&gt;"",H85="Cloture"),TODAY()-G85,""))</f>
        <v/>
      </c>
      <c r="J85" s="113" t="n"/>
      <c r="K85" s="113" t="n"/>
      <c r="L85" s="113" t="n"/>
      <c r="M85" s="117" t="n"/>
      <c r="N85" s="115" t="n"/>
      <c r="O85" s="118">
        <f>IF(G85&lt;&gt;"",TEXT(G85,"MMMM YYYY"),"")</f>
        <v/>
      </c>
      <c r="P85" s="118">
        <f>IF(G85&lt;&gt;"",YEAR(G85),"")</f>
        <v/>
      </c>
    </row>
    <row r="86" ht="21.75" customHeight="1" s="85">
      <c r="A86" s="119">
        <f>IF(B86&lt;&gt;"",ROW()-2,"")</f>
        <v/>
      </c>
      <c r="B86" s="120" t="n"/>
      <c r="C86" s="120" t="n"/>
      <c r="D86" s="120" t="n"/>
      <c r="E86" s="120" t="n"/>
      <c r="F86" s="120" t="n"/>
      <c r="G86" s="121" t="n"/>
      <c r="H86" s="122" t="n"/>
      <c r="I86" s="116">
        <f>IF(AND(G86&lt;&gt;"",H86="En cours"),TODAY()-G86,IF(AND(G86&lt;&gt;"",H86="Cloture"),TODAY()-G86,""))</f>
        <v/>
      </c>
      <c r="J86" s="120" t="n"/>
      <c r="K86" s="120" t="n"/>
      <c r="L86" s="120" t="n"/>
      <c r="M86" s="123" t="n"/>
      <c r="N86" s="122" t="n"/>
      <c r="O86" s="118">
        <f>IF(G86&lt;&gt;"",TEXT(G86,"MMMM YYYY"),"")</f>
        <v/>
      </c>
      <c r="P86" s="118">
        <f>IF(G86&lt;&gt;"",YEAR(G86),"")</f>
        <v/>
      </c>
    </row>
    <row r="87" ht="21.75" customHeight="1" s="85">
      <c r="A87" s="112">
        <f>IF(B87&lt;&gt;"",ROW()-2,"")</f>
        <v/>
      </c>
      <c r="B87" s="113" t="n"/>
      <c r="C87" s="113" t="n"/>
      <c r="D87" s="113" t="n"/>
      <c r="E87" s="113" t="n"/>
      <c r="F87" s="113" t="n"/>
      <c r="G87" s="114" t="n"/>
      <c r="H87" s="115" t="n"/>
      <c r="I87" s="116">
        <f>IF(AND(G87&lt;&gt;"",H87="En cours"),TODAY()-G87,IF(AND(G87&lt;&gt;"",H87="Cloture"),TODAY()-G87,""))</f>
        <v/>
      </c>
      <c r="J87" s="113" t="n"/>
      <c r="K87" s="113" t="n"/>
      <c r="L87" s="113" t="n"/>
      <c r="M87" s="117" t="n"/>
      <c r="N87" s="115" t="n"/>
      <c r="O87" s="118">
        <f>IF(G87&lt;&gt;"",TEXT(G87,"MMMM YYYY"),"")</f>
        <v/>
      </c>
      <c r="P87" s="118">
        <f>IF(G87&lt;&gt;"",YEAR(G87),"")</f>
        <v/>
      </c>
    </row>
    <row r="88" ht="21.75" customHeight="1" s="85">
      <c r="A88" s="119">
        <f>IF(B88&lt;&gt;"",ROW()-2,"")</f>
        <v/>
      </c>
      <c r="B88" s="120" t="n"/>
      <c r="C88" s="120" t="n"/>
      <c r="D88" s="120" t="n"/>
      <c r="E88" s="120" t="n"/>
      <c r="F88" s="120" t="n"/>
      <c r="G88" s="121" t="n"/>
      <c r="H88" s="122" t="n"/>
      <c r="I88" s="116">
        <f>IF(AND(G88&lt;&gt;"",H88="En cours"),TODAY()-G88,IF(AND(G88&lt;&gt;"",H88="Cloture"),TODAY()-G88,""))</f>
        <v/>
      </c>
      <c r="J88" s="120" t="n"/>
      <c r="K88" s="120" t="n"/>
      <c r="L88" s="120" t="n"/>
      <c r="M88" s="123" t="n"/>
      <c r="N88" s="122" t="n"/>
      <c r="O88" s="118">
        <f>IF(G88&lt;&gt;"",TEXT(G88,"MMMM YYYY"),"")</f>
        <v/>
      </c>
      <c r="P88" s="118">
        <f>IF(G88&lt;&gt;"",YEAR(G88),"")</f>
        <v/>
      </c>
    </row>
    <row r="89" ht="21.75" customHeight="1" s="85">
      <c r="A89" s="112">
        <f>IF(B89&lt;&gt;"",ROW()-2,"")</f>
        <v/>
      </c>
      <c r="B89" s="113" t="n"/>
      <c r="C89" s="113" t="n"/>
      <c r="D89" s="113" t="n"/>
      <c r="E89" s="113" t="n"/>
      <c r="F89" s="113" t="n"/>
      <c r="G89" s="114" t="n"/>
      <c r="H89" s="115" t="n"/>
      <c r="I89" s="116">
        <f>IF(AND(G89&lt;&gt;"",H89="En cours"),TODAY()-G89,IF(AND(G89&lt;&gt;"",H89="Cloture"),TODAY()-G89,""))</f>
        <v/>
      </c>
      <c r="J89" s="113" t="n"/>
      <c r="K89" s="113" t="n"/>
      <c r="L89" s="113" t="n"/>
      <c r="M89" s="117" t="n"/>
      <c r="N89" s="115" t="n"/>
      <c r="O89" s="118">
        <f>IF(G89&lt;&gt;"",TEXT(G89,"MMMM YYYY"),"")</f>
        <v/>
      </c>
      <c r="P89" s="118">
        <f>IF(G89&lt;&gt;"",YEAR(G89),"")</f>
        <v/>
      </c>
    </row>
    <row r="90" ht="21.75" customHeight="1" s="85">
      <c r="A90" s="119">
        <f>IF(B90&lt;&gt;"",ROW()-2,"")</f>
        <v/>
      </c>
      <c r="B90" s="120" t="n"/>
      <c r="C90" s="120" t="n"/>
      <c r="D90" s="120" t="n"/>
      <c r="E90" s="120" t="n"/>
      <c r="F90" s="120" t="n"/>
      <c r="G90" s="121" t="n"/>
      <c r="H90" s="122" t="n"/>
      <c r="I90" s="116">
        <f>IF(AND(G90&lt;&gt;"",H90="En cours"),TODAY()-G90,IF(AND(G90&lt;&gt;"",H90="Cloture"),TODAY()-G90,""))</f>
        <v/>
      </c>
      <c r="J90" s="120" t="n"/>
      <c r="K90" s="120" t="n"/>
      <c r="L90" s="120" t="n"/>
      <c r="M90" s="123" t="n"/>
      <c r="N90" s="122" t="n"/>
      <c r="O90" s="118">
        <f>IF(G90&lt;&gt;"",TEXT(G90,"MMMM YYYY"),"")</f>
        <v/>
      </c>
      <c r="P90" s="118">
        <f>IF(G90&lt;&gt;"",YEAR(G90),"")</f>
        <v/>
      </c>
    </row>
    <row r="91" ht="21.75" customHeight="1" s="85">
      <c r="A91" s="112">
        <f>IF(B91&lt;&gt;"",ROW()-2,"")</f>
        <v/>
      </c>
      <c r="B91" s="113" t="n"/>
      <c r="C91" s="113" t="n"/>
      <c r="D91" s="113" t="n"/>
      <c r="E91" s="113" t="n"/>
      <c r="F91" s="113" t="n"/>
      <c r="G91" s="114" t="n"/>
      <c r="H91" s="115" t="n"/>
      <c r="I91" s="116">
        <f>IF(AND(G91&lt;&gt;"",H91="En cours"),TODAY()-G91,IF(AND(G91&lt;&gt;"",H91="Cloture"),TODAY()-G91,""))</f>
        <v/>
      </c>
      <c r="J91" s="113" t="n"/>
      <c r="K91" s="113" t="n"/>
      <c r="L91" s="113" t="n"/>
      <c r="M91" s="117" t="n"/>
      <c r="N91" s="115" t="n"/>
      <c r="O91" s="118">
        <f>IF(G91&lt;&gt;"",TEXT(G91,"MMMM YYYY"),"")</f>
        <v/>
      </c>
      <c r="P91" s="118">
        <f>IF(G91&lt;&gt;"",YEAR(G91),"")</f>
        <v/>
      </c>
    </row>
    <row r="92" ht="21.75" customHeight="1" s="85">
      <c r="A92" s="119">
        <f>IF(B92&lt;&gt;"",ROW()-2,"")</f>
        <v/>
      </c>
      <c r="B92" s="120" t="n"/>
      <c r="C92" s="120" t="n"/>
      <c r="D92" s="120" t="n"/>
      <c r="E92" s="120" t="n"/>
      <c r="F92" s="120" t="n"/>
      <c r="G92" s="121" t="n"/>
      <c r="H92" s="122" t="n"/>
      <c r="I92" s="116">
        <f>IF(AND(G92&lt;&gt;"",H92="En cours"),TODAY()-G92,IF(AND(G92&lt;&gt;"",H92="Cloture"),TODAY()-G92,""))</f>
        <v/>
      </c>
      <c r="J92" s="120" t="n"/>
      <c r="K92" s="120" t="n"/>
      <c r="L92" s="120" t="n"/>
      <c r="M92" s="123" t="n"/>
      <c r="N92" s="122" t="n"/>
      <c r="O92" s="118">
        <f>IF(G92&lt;&gt;"",TEXT(G92,"MMMM YYYY"),"")</f>
        <v/>
      </c>
      <c r="P92" s="118">
        <f>IF(G92&lt;&gt;"",YEAR(G92),"")</f>
        <v/>
      </c>
    </row>
    <row r="93" ht="21.75" customHeight="1" s="85">
      <c r="A93" s="112">
        <f>IF(B93&lt;&gt;"",ROW()-2,"")</f>
        <v/>
      </c>
      <c r="B93" s="113" t="n"/>
      <c r="C93" s="113" t="n"/>
      <c r="D93" s="113" t="n"/>
      <c r="E93" s="113" t="n"/>
      <c r="F93" s="113" t="n"/>
      <c r="G93" s="114" t="n"/>
      <c r="H93" s="115" t="n"/>
      <c r="I93" s="116">
        <f>IF(AND(G93&lt;&gt;"",H93="En cours"),TODAY()-G93,IF(AND(G93&lt;&gt;"",H93="Cloture"),TODAY()-G93,""))</f>
        <v/>
      </c>
      <c r="J93" s="113" t="n"/>
      <c r="K93" s="113" t="n"/>
      <c r="L93" s="113" t="n"/>
      <c r="M93" s="117" t="n"/>
      <c r="N93" s="115" t="n"/>
      <c r="O93" s="118">
        <f>IF(G93&lt;&gt;"",TEXT(G93,"MMMM YYYY"),"")</f>
        <v/>
      </c>
      <c r="P93" s="118">
        <f>IF(G93&lt;&gt;"",YEAR(G93),"")</f>
        <v/>
      </c>
    </row>
    <row r="94" ht="21.75" customHeight="1" s="85">
      <c r="A94" s="119">
        <f>IF(B94&lt;&gt;"",ROW()-2,"")</f>
        <v/>
      </c>
      <c r="B94" s="120" t="n"/>
      <c r="C94" s="120" t="n"/>
      <c r="D94" s="120" t="n"/>
      <c r="E94" s="120" t="n"/>
      <c r="F94" s="120" t="n"/>
      <c r="G94" s="121" t="n"/>
      <c r="H94" s="122" t="n"/>
      <c r="I94" s="116">
        <f>IF(AND(G94&lt;&gt;"",H94="En cours"),TODAY()-G94,IF(AND(G94&lt;&gt;"",H94="Cloture"),TODAY()-G94,""))</f>
        <v/>
      </c>
      <c r="J94" s="120" t="n"/>
      <c r="K94" s="120" t="n"/>
      <c r="L94" s="120" t="n"/>
      <c r="M94" s="123" t="n"/>
      <c r="N94" s="122" t="n"/>
      <c r="O94" s="118">
        <f>IF(G94&lt;&gt;"",TEXT(G94,"MMMM YYYY"),"")</f>
        <v/>
      </c>
      <c r="P94" s="118">
        <f>IF(G94&lt;&gt;"",YEAR(G94),"")</f>
        <v/>
      </c>
    </row>
    <row r="95" ht="21.75" customHeight="1" s="85">
      <c r="A95" s="112">
        <f>IF(B95&lt;&gt;"",ROW()-2,"")</f>
        <v/>
      </c>
      <c r="B95" s="113" t="n"/>
      <c r="C95" s="113" t="n"/>
      <c r="D95" s="113" t="n"/>
      <c r="E95" s="113" t="n"/>
      <c r="F95" s="113" t="n"/>
      <c r="G95" s="114" t="n"/>
      <c r="H95" s="115" t="n"/>
      <c r="I95" s="116">
        <f>IF(AND(G95&lt;&gt;"",H95="En cours"),TODAY()-G95,IF(AND(G95&lt;&gt;"",H95="Cloture"),TODAY()-G95,""))</f>
        <v/>
      </c>
      <c r="J95" s="113" t="n"/>
      <c r="K95" s="113" t="n"/>
      <c r="L95" s="113" t="n"/>
      <c r="M95" s="117" t="n"/>
      <c r="N95" s="115" t="n"/>
      <c r="O95" s="118">
        <f>IF(G95&lt;&gt;"",TEXT(G95,"MMMM YYYY"),"")</f>
        <v/>
      </c>
      <c r="P95" s="118">
        <f>IF(G95&lt;&gt;"",YEAR(G95),"")</f>
        <v/>
      </c>
    </row>
    <row r="96" ht="21.75" customHeight="1" s="85">
      <c r="A96" s="119">
        <f>IF(B96&lt;&gt;"",ROW()-2,"")</f>
        <v/>
      </c>
      <c r="B96" s="120" t="n"/>
      <c r="C96" s="120" t="n"/>
      <c r="D96" s="120" t="n"/>
      <c r="E96" s="120" t="n"/>
      <c r="F96" s="120" t="n"/>
      <c r="G96" s="121" t="n"/>
      <c r="H96" s="122" t="n"/>
      <c r="I96" s="116">
        <f>IF(AND(G96&lt;&gt;"",H96="En cours"),TODAY()-G96,IF(AND(G96&lt;&gt;"",H96="Cloture"),TODAY()-G96,""))</f>
        <v/>
      </c>
      <c r="J96" s="120" t="n"/>
      <c r="K96" s="120" t="n"/>
      <c r="L96" s="120" t="n"/>
      <c r="M96" s="123" t="n"/>
      <c r="N96" s="122" t="n"/>
      <c r="O96" s="118">
        <f>IF(G96&lt;&gt;"",TEXT(G96,"MMMM YYYY"),"")</f>
        <v/>
      </c>
      <c r="P96" s="118">
        <f>IF(G96&lt;&gt;"",YEAR(G96),"")</f>
        <v/>
      </c>
    </row>
    <row r="97" ht="21.75" customHeight="1" s="85">
      <c r="A97" s="112">
        <f>IF(B97&lt;&gt;"",ROW()-2,"")</f>
        <v/>
      </c>
      <c r="B97" s="113" t="n"/>
      <c r="C97" s="113" t="n"/>
      <c r="D97" s="113" t="n"/>
      <c r="E97" s="113" t="n"/>
      <c r="F97" s="113" t="n"/>
      <c r="G97" s="114" t="n"/>
      <c r="H97" s="115" t="n"/>
      <c r="I97" s="116">
        <f>IF(AND(G97&lt;&gt;"",H97="En cours"),TODAY()-G97,IF(AND(G97&lt;&gt;"",H97="Cloture"),TODAY()-G97,""))</f>
        <v/>
      </c>
      <c r="J97" s="113" t="n"/>
      <c r="K97" s="113" t="n"/>
      <c r="L97" s="113" t="n"/>
      <c r="M97" s="117" t="n"/>
      <c r="N97" s="115" t="n"/>
      <c r="O97" s="118">
        <f>IF(G97&lt;&gt;"",TEXT(G97,"MMMM YYYY"),"")</f>
        <v/>
      </c>
      <c r="P97" s="118">
        <f>IF(G97&lt;&gt;"",YEAR(G97),"")</f>
        <v/>
      </c>
    </row>
    <row r="98" ht="21.75" customHeight="1" s="85">
      <c r="A98" s="119">
        <f>IF(B98&lt;&gt;"",ROW()-2,"")</f>
        <v/>
      </c>
      <c r="B98" s="120" t="n"/>
      <c r="C98" s="120" t="n"/>
      <c r="D98" s="120" t="n"/>
      <c r="E98" s="120" t="n"/>
      <c r="F98" s="120" t="n"/>
      <c r="G98" s="121" t="n"/>
      <c r="H98" s="122" t="n"/>
      <c r="I98" s="116">
        <f>IF(AND(G98&lt;&gt;"",H98="En cours"),TODAY()-G98,IF(AND(G98&lt;&gt;"",H98="Cloture"),TODAY()-G98,""))</f>
        <v/>
      </c>
      <c r="J98" s="120" t="n"/>
      <c r="K98" s="120" t="n"/>
      <c r="L98" s="120" t="n"/>
      <c r="M98" s="123" t="n"/>
      <c r="N98" s="122" t="n"/>
      <c r="O98" s="118">
        <f>IF(G98&lt;&gt;"",TEXT(G98,"MMMM YYYY"),"")</f>
        <v/>
      </c>
      <c r="P98" s="118">
        <f>IF(G98&lt;&gt;"",YEAR(G98),"")</f>
        <v/>
      </c>
    </row>
    <row r="99" ht="21.75" customHeight="1" s="85">
      <c r="A99" s="112">
        <f>IF(B99&lt;&gt;"",ROW()-2,"")</f>
        <v/>
      </c>
      <c r="B99" s="113" t="n"/>
      <c r="C99" s="113" t="n"/>
      <c r="D99" s="113" t="n"/>
      <c r="E99" s="113" t="n"/>
      <c r="F99" s="113" t="n"/>
      <c r="G99" s="114" t="n"/>
      <c r="H99" s="115" t="n"/>
      <c r="I99" s="116">
        <f>IF(AND(G99&lt;&gt;"",H99="En cours"),TODAY()-G99,IF(AND(G99&lt;&gt;"",H99="Cloture"),TODAY()-G99,""))</f>
        <v/>
      </c>
      <c r="J99" s="113" t="n"/>
      <c r="K99" s="113" t="n"/>
      <c r="L99" s="113" t="n"/>
      <c r="M99" s="117" t="n"/>
      <c r="N99" s="115" t="n"/>
      <c r="O99" s="118">
        <f>IF(G99&lt;&gt;"",TEXT(G99,"MMMM YYYY"),"")</f>
        <v/>
      </c>
      <c r="P99" s="118">
        <f>IF(G99&lt;&gt;"",YEAR(G99),"")</f>
        <v/>
      </c>
    </row>
    <row r="100" ht="21.75" customHeight="1" s="85">
      <c r="A100" s="119">
        <f>IF(B100&lt;&gt;"",ROW()-2,"")</f>
        <v/>
      </c>
      <c r="B100" s="120" t="n"/>
      <c r="C100" s="120" t="n"/>
      <c r="D100" s="120" t="n"/>
      <c r="E100" s="120" t="n"/>
      <c r="F100" s="120" t="n"/>
      <c r="G100" s="121" t="n"/>
      <c r="H100" s="122" t="n"/>
      <c r="I100" s="116">
        <f>IF(AND(G100&lt;&gt;"",H100="En cours"),TODAY()-G100,IF(AND(G100&lt;&gt;"",H100="Cloture"),TODAY()-G100,""))</f>
        <v/>
      </c>
      <c r="J100" s="120" t="n"/>
      <c r="K100" s="120" t="n"/>
      <c r="L100" s="120" t="n"/>
      <c r="M100" s="123" t="n"/>
      <c r="N100" s="122" t="n"/>
      <c r="O100" s="118">
        <f>IF(G100&lt;&gt;"",TEXT(G100,"MMMM YYYY"),"")</f>
        <v/>
      </c>
      <c r="P100" s="118">
        <f>IF(G100&lt;&gt;"",YEAR(G100),"")</f>
        <v/>
      </c>
    </row>
    <row r="101" ht="21.75" customHeight="1" s="85">
      <c r="A101" s="112">
        <f>IF(B101&lt;&gt;"",ROW()-2,"")</f>
        <v/>
      </c>
      <c r="B101" s="113" t="n"/>
      <c r="C101" s="113" t="n"/>
      <c r="D101" s="113" t="n"/>
      <c r="E101" s="113" t="n"/>
      <c r="F101" s="113" t="n"/>
      <c r="G101" s="114" t="n"/>
      <c r="H101" s="115" t="n"/>
      <c r="I101" s="116">
        <f>IF(AND(G101&lt;&gt;"",H101="En cours"),TODAY()-G101,IF(AND(G101&lt;&gt;"",H101="Cloture"),TODAY()-G101,""))</f>
        <v/>
      </c>
      <c r="J101" s="113" t="n"/>
      <c r="K101" s="113" t="n"/>
      <c r="L101" s="113" t="n"/>
      <c r="M101" s="117" t="n"/>
      <c r="N101" s="115" t="n"/>
      <c r="O101" s="118">
        <f>IF(G101&lt;&gt;"",TEXT(G101,"MMMM YYYY"),"")</f>
        <v/>
      </c>
      <c r="P101" s="118">
        <f>IF(G101&lt;&gt;"",YEAR(G101),"")</f>
        <v/>
      </c>
    </row>
    <row r="102" ht="21.75" customHeight="1" s="85">
      <c r="A102" s="119">
        <f>IF(B102&lt;&gt;"",ROW()-2,"")</f>
        <v/>
      </c>
      <c r="B102" s="120" t="n"/>
      <c r="C102" s="120" t="n"/>
      <c r="D102" s="120" t="n"/>
      <c r="E102" s="120" t="n"/>
      <c r="F102" s="120" t="n"/>
      <c r="G102" s="121" t="n"/>
      <c r="H102" s="122" t="n"/>
      <c r="I102" s="116">
        <f>IF(AND(G102&lt;&gt;"",H102="En cours"),TODAY()-G102,IF(AND(G102&lt;&gt;"",H102="Cloture"),TODAY()-G102,""))</f>
        <v/>
      </c>
      <c r="J102" s="120" t="n"/>
      <c r="K102" s="120" t="n"/>
      <c r="L102" s="120" t="n"/>
      <c r="M102" s="123" t="n"/>
      <c r="N102" s="122" t="n"/>
      <c r="O102" s="118">
        <f>IF(G102&lt;&gt;"",TEXT(G102,"MMMM YYYY"),"")</f>
        <v/>
      </c>
      <c r="P102" s="118">
        <f>IF(G102&lt;&gt;"",YEAR(G102),"")</f>
        <v/>
      </c>
    </row>
    <row r="103" ht="21.75" customHeight="1" s="85">
      <c r="A103" s="112">
        <f>IF(B103&lt;&gt;"",ROW()-2,"")</f>
        <v/>
      </c>
      <c r="B103" s="113" t="n"/>
      <c r="C103" s="113" t="n"/>
      <c r="D103" s="113" t="n"/>
      <c r="E103" s="113" t="n"/>
      <c r="F103" s="113" t="n"/>
      <c r="G103" s="114" t="n"/>
      <c r="H103" s="115" t="n"/>
      <c r="I103" s="116">
        <f>IF(AND(G103&lt;&gt;"",H103="En cours"),TODAY()-G103,IF(AND(G103&lt;&gt;"",H103="Cloture"),TODAY()-G103,""))</f>
        <v/>
      </c>
      <c r="J103" s="113" t="n"/>
      <c r="K103" s="113" t="n"/>
      <c r="L103" s="113" t="n"/>
      <c r="M103" s="117" t="n"/>
      <c r="N103" s="115" t="n"/>
      <c r="O103" s="118">
        <f>IF(G103&lt;&gt;"",TEXT(G103,"MMMM YYYY"),"")</f>
        <v/>
      </c>
      <c r="P103" s="118">
        <f>IF(G103&lt;&gt;"",YEAR(G103),"")</f>
        <v/>
      </c>
    </row>
    <row r="104" ht="21.75" customHeight="1" s="85">
      <c r="A104" s="119">
        <f>IF(B104&lt;&gt;"",ROW()-2,"")</f>
        <v/>
      </c>
      <c r="B104" s="120" t="n"/>
      <c r="C104" s="120" t="n"/>
      <c r="D104" s="120" t="n"/>
      <c r="E104" s="120" t="n"/>
      <c r="F104" s="120" t="n"/>
      <c r="G104" s="121" t="n"/>
      <c r="H104" s="122" t="n"/>
      <c r="I104" s="116">
        <f>IF(AND(G104&lt;&gt;"",H104="En cours"),TODAY()-G104,IF(AND(G104&lt;&gt;"",H104="Cloture"),TODAY()-G104,""))</f>
        <v/>
      </c>
      <c r="J104" s="120" t="n"/>
      <c r="K104" s="120" t="n"/>
      <c r="L104" s="120" t="n"/>
      <c r="M104" s="123" t="n"/>
      <c r="N104" s="122" t="n"/>
      <c r="O104" s="118">
        <f>IF(G104&lt;&gt;"",TEXT(G104,"MMMM YYYY"),"")</f>
        <v/>
      </c>
      <c r="P104" s="118">
        <f>IF(G104&lt;&gt;"",YEAR(G104),"")</f>
        <v/>
      </c>
    </row>
    <row r="105" ht="21.75" customHeight="1" s="85">
      <c r="A105" s="112">
        <f>IF(B105&lt;&gt;"",ROW()-2,"")</f>
        <v/>
      </c>
      <c r="B105" s="113" t="n"/>
      <c r="C105" s="113" t="n"/>
      <c r="D105" s="113" t="n"/>
      <c r="E105" s="113" t="n"/>
      <c r="F105" s="113" t="n"/>
      <c r="G105" s="114" t="n"/>
      <c r="H105" s="115" t="n"/>
      <c r="I105" s="116">
        <f>IF(AND(G105&lt;&gt;"",H105="En cours"),TODAY()-G105,IF(AND(G105&lt;&gt;"",H105="Cloture"),TODAY()-G105,""))</f>
        <v/>
      </c>
      <c r="J105" s="113" t="n"/>
      <c r="K105" s="113" t="n"/>
      <c r="L105" s="113" t="n"/>
      <c r="M105" s="117" t="n"/>
      <c r="N105" s="115" t="n"/>
      <c r="O105" s="118">
        <f>IF(G105&lt;&gt;"",TEXT(G105,"MMMM YYYY"),"")</f>
        <v/>
      </c>
      <c r="P105" s="118">
        <f>IF(G105&lt;&gt;"",YEAR(G105),"")</f>
        <v/>
      </c>
    </row>
    <row r="106" ht="21.75" customHeight="1" s="85">
      <c r="A106" s="119">
        <f>IF(B106&lt;&gt;"",ROW()-2,"")</f>
        <v/>
      </c>
      <c r="B106" s="120" t="n"/>
      <c r="C106" s="120" t="n"/>
      <c r="D106" s="120" t="n"/>
      <c r="E106" s="120" t="n"/>
      <c r="F106" s="120" t="n"/>
      <c r="G106" s="121" t="n"/>
      <c r="H106" s="122" t="n"/>
      <c r="I106" s="116">
        <f>IF(AND(G106&lt;&gt;"",H106="En cours"),TODAY()-G106,IF(AND(G106&lt;&gt;"",H106="Cloture"),TODAY()-G106,""))</f>
        <v/>
      </c>
      <c r="J106" s="120" t="n"/>
      <c r="K106" s="120" t="n"/>
      <c r="L106" s="120" t="n"/>
      <c r="M106" s="123" t="n"/>
      <c r="N106" s="122" t="n"/>
      <c r="O106" s="118">
        <f>IF(G106&lt;&gt;"",TEXT(G106,"MMMM YYYY"),"")</f>
        <v/>
      </c>
      <c r="P106" s="118">
        <f>IF(G106&lt;&gt;"",YEAR(G106),"")</f>
        <v/>
      </c>
    </row>
    <row r="107" ht="21.75" customHeight="1" s="85">
      <c r="A107" s="112">
        <f>IF(B107&lt;&gt;"",ROW()-2,"")</f>
        <v/>
      </c>
      <c r="B107" s="113" t="n"/>
      <c r="C107" s="113" t="n"/>
      <c r="D107" s="113" t="n"/>
      <c r="E107" s="113" t="n"/>
      <c r="F107" s="113" t="n"/>
      <c r="G107" s="114" t="n"/>
      <c r="H107" s="115" t="n"/>
      <c r="I107" s="116">
        <f>IF(AND(G107&lt;&gt;"",H107="En cours"),TODAY()-G107,IF(AND(G107&lt;&gt;"",H107="Cloture"),TODAY()-G107,""))</f>
        <v/>
      </c>
      <c r="J107" s="113" t="n"/>
      <c r="K107" s="113" t="n"/>
      <c r="L107" s="113" t="n"/>
      <c r="M107" s="117" t="n"/>
      <c r="N107" s="115" t="n"/>
      <c r="O107" s="118">
        <f>IF(G107&lt;&gt;"",TEXT(G107,"MMMM YYYY"),"")</f>
        <v/>
      </c>
      <c r="P107" s="118">
        <f>IF(G107&lt;&gt;"",YEAR(G107),"")</f>
        <v/>
      </c>
    </row>
    <row r="108" ht="21.75" customHeight="1" s="85">
      <c r="A108" s="119">
        <f>IF(B108&lt;&gt;"",ROW()-2,"")</f>
        <v/>
      </c>
      <c r="B108" s="120" t="n"/>
      <c r="C108" s="120" t="n"/>
      <c r="D108" s="120" t="n"/>
      <c r="E108" s="120" t="n"/>
      <c r="F108" s="120" t="n"/>
      <c r="G108" s="121" t="n"/>
      <c r="H108" s="122" t="n"/>
      <c r="I108" s="116">
        <f>IF(AND(G108&lt;&gt;"",H108="En cours"),TODAY()-G108,IF(AND(G108&lt;&gt;"",H108="Cloture"),TODAY()-G108,""))</f>
        <v/>
      </c>
      <c r="J108" s="120" t="n"/>
      <c r="K108" s="120" t="n"/>
      <c r="L108" s="120" t="n"/>
      <c r="M108" s="123" t="n"/>
      <c r="N108" s="122" t="n"/>
      <c r="O108" s="118">
        <f>IF(G108&lt;&gt;"",TEXT(G108,"MMMM YYYY"),"")</f>
        <v/>
      </c>
      <c r="P108" s="118">
        <f>IF(G108&lt;&gt;"",YEAR(G108),"")</f>
        <v/>
      </c>
    </row>
    <row r="109" ht="21.75" customHeight="1" s="85">
      <c r="A109" s="112">
        <f>IF(B109&lt;&gt;"",ROW()-2,"")</f>
        <v/>
      </c>
      <c r="B109" s="113" t="n"/>
      <c r="C109" s="113" t="n"/>
      <c r="D109" s="113" t="n"/>
      <c r="E109" s="113" t="n"/>
      <c r="F109" s="113" t="n"/>
      <c r="G109" s="114" t="n"/>
      <c r="H109" s="115" t="n"/>
      <c r="I109" s="116">
        <f>IF(AND(G109&lt;&gt;"",H109="En cours"),TODAY()-G109,IF(AND(G109&lt;&gt;"",H109="Cloture"),TODAY()-G109,""))</f>
        <v/>
      </c>
      <c r="J109" s="113" t="n"/>
      <c r="K109" s="113" t="n"/>
      <c r="L109" s="113" t="n"/>
      <c r="M109" s="117" t="n"/>
      <c r="N109" s="115" t="n"/>
      <c r="O109" s="118">
        <f>IF(G109&lt;&gt;"",TEXT(G109,"MMMM YYYY"),"")</f>
        <v/>
      </c>
      <c r="P109" s="118">
        <f>IF(G109&lt;&gt;"",YEAR(G109),"")</f>
        <v/>
      </c>
    </row>
    <row r="110" ht="21.75" customHeight="1" s="85">
      <c r="A110" s="119">
        <f>IF(B110&lt;&gt;"",ROW()-2,"")</f>
        <v/>
      </c>
      <c r="B110" s="120" t="n"/>
      <c r="C110" s="120" t="n"/>
      <c r="D110" s="120" t="n"/>
      <c r="E110" s="120" t="n"/>
      <c r="F110" s="120" t="n"/>
      <c r="G110" s="121" t="n"/>
      <c r="H110" s="122" t="n"/>
      <c r="I110" s="116">
        <f>IF(AND(G110&lt;&gt;"",H110="En cours"),TODAY()-G110,IF(AND(G110&lt;&gt;"",H110="Cloture"),TODAY()-G110,""))</f>
        <v/>
      </c>
      <c r="J110" s="120" t="n"/>
      <c r="K110" s="120" t="n"/>
      <c r="L110" s="120" t="n"/>
      <c r="M110" s="123" t="n"/>
      <c r="N110" s="122" t="n"/>
      <c r="O110" s="118">
        <f>IF(G110&lt;&gt;"",TEXT(G110,"MMMM YYYY"),"")</f>
        <v/>
      </c>
      <c r="P110" s="118">
        <f>IF(G110&lt;&gt;"",YEAR(G110),"")</f>
        <v/>
      </c>
    </row>
    <row r="111" ht="21.75" customHeight="1" s="85">
      <c r="A111" s="112">
        <f>IF(B111&lt;&gt;"",ROW()-2,"")</f>
        <v/>
      </c>
      <c r="B111" s="113" t="n"/>
      <c r="C111" s="113" t="n"/>
      <c r="D111" s="113" t="n"/>
      <c r="E111" s="113" t="n"/>
      <c r="F111" s="113" t="n"/>
      <c r="G111" s="114" t="n"/>
      <c r="H111" s="115" t="n"/>
      <c r="I111" s="116">
        <f>IF(AND(G111&lt;&gt;"",H111="En cours"),TODAY()-G111,IF(AND(G111&lt;&gt;"",H111="Cloture"),TODAY()-G111,""))</f>
        <v/>
      </c>
      <c r="J111" s="113" t="n"/>
      <c r="K111" s="113" t="n"/>
      <c r="L111" s="113" t="n"/>
      <c r="M111" s="117" t="n"/>
      <c r="N111" s="115" t="n"/>
      <c r="O111" s="118">
        <f>IF(G111&lt;&gt;"",TEXT(G111,"MMMM YYYY"),"")</f>
        <v/>
      </c>
      <c r="P111" s="118">
        <f>IF(G111&lt;&gt;"",YEAR(G111),"")</f>
        <v/>
      </c>
    </row>
    <row r="112" ht="21.75" customHeight="1" s="85">
      <c r="A112" s="119">
        <f>IF(B112&lt;&gt;"",ROW()-2,"")</f>
        <v/>
      </c>
      <c r="B112" s="120" t="n"/>
      <c r="C112" s="120" t="n"/>
      <c r="D112" s="120" t="n"/>
      <c r="E112" s="120" t="n"/>
      <c r="F112" s="120" t="n"/>
      <c r="G112" s="121" t="n"/>
      <c r="H112" s="122" t="n"/>
      <c r="I112" s="116">
        <f>IF(AND(G112&lt;&gt;"",H112="En cours"),TODAY()-G112,IF(AND(G112&lt;&gt;"",H112="Cloture"),TODAY()-G112,""))</f>
        <v/>
      </c>
      <c r="J112" s="120" t="n"/>
      <c r="K112" s="120" t="n"/>
      <c r="L112" s="120" t="n"/>
      <c r="M112" s="123" t="n"/>
      <c r="N112" s="122" t="n"/>
      <c r="O112" s="118">
        <f>IF(G112&lt;&gt;"",TEXT(G112,"MMMM YYYY"),"")</f>
        <v/>
      </c>
      <c r="P112" s="118">
        <f>IF(G112&lt;&gt;"",YEAR(G112),"")</f>
        <v/>
      </c>
    </row>
    <row r="113" ht="21.75" customHeight="1" s="85">
      <c r="A113" s="112">
        <f>IF(B113&lt;&gt;"",ROW()-2,"")</f>
        <v/>
      </c>
      <c r="B113" s="113" t="n"/>
      <c r="C113" s="113" t="n"/>
      <c r="D113" s="113" t="n"/>
      <c r="E113" s="113" t="n"/>
      <c r="F113" s="113" t="n"/>
      <c r="G113" s="114" t="n"/>
      <c r="H113" s="115" t="n"/>
      <c r="I113" s="116">
        <f>IF(AND(G113&lt;&gt;"",H113="En cours"),TODAY()-G113,IF(AND(G113&lt;&gt;"",H113="Cloture"),TODAY()-G113,""))</f>
        <v/>
      </c>
      <c r="J113" s="113" t="n"/>
      <c r="K113" s="113" t="n"/>
      <c r="L113" s="113" t="n"/>
      <c r="M113" s="117" t="n"/>
      <c r="N113" s="115" t="n"/>
      <c r="O113" s="118">
        <f>IF(G113&lt;&gt;"",TEXT(G113,"MMMM YYYY"),"")</f>
        <v/>
      </c>
      <c r="P113" s="118">
        <f>IF(G113&lt;&gt;"",YEAR(G113),"")</f>
        <v/>
      </c>
    </row>
    <row r="114" ht="21.75" customHeight="1" s="85">
      <c r="A114" s="119">
        <f>IF(B114&lt;&gt;"",ROW()-2,"")</f>
        <v/>
      </c>
      <c r="B114" s="120" t="n"/>
      <c r="C114" s="120" t="n"/>
      <c r="D114" s="120" t="n"/>
      <c r="E114" s="120" t="n"/>
      <c r="F114" s="120" t="n"/>
      <c r="G114" s="121" t="n"/>
      <c r="H114" s="122" t="n"/>
      <c r="I114" s="116">
        <f>IF(AND(G114&lt;&gt;"",H114="En cours"),TODAY()-G114,IF(AND(G114&lt;&gt;"",H114="Cloture"),TODAY()-G114,""))</f>
        <v/>
      </c>
      <c r="J114" s="120" t="n"/>
      <c r="K114" s="120" t="n"/>
      <c r="L114" s="120" t="n"/>
      <c r="M114" s="123" t="n"/>
      <c r="N114" s="122" t="n"/>
      <c r="O114" s="118">
        <f>IF(G114&lt;&gt;"",TEXT(G114,"MMMM YYYY"),"")</f>
        <v/>
      </c>
      <c r="P114" s="118">
        <f>IF(G114&lt;&gt;"",YEAR(G114),"")</f>
        <v/>
      </c>
    </row>
    <row r="115" ht="21.75" customHeight="1" s="85">
      <c r="A115" s="112">
        <f>IF(B115&lt;&gt;"",ROW()-2,"")</f>
        <v/>
      </c>
      <c r="B115" s="113" t="n"/>
      <c r="C115" s="113" t="n"/>
      <c r="D115" s="113" t="n"/>
      <c r="E115" s="113" t="n"/>
      <c r="F115" s="113" t="n"/>
      <c r="G115" s="114" t="n"/>
      <c r="H115" s="115" t="n"/>
      <c r="I115" s="116">
        <f>IF(AND(G115&lt;&gt;"",H115="En cours"),TODAY()-G115,IF(AND(G115&lt;&gt;"",H115="Cloture"),TODAY()-G115,""))</f>
        <v/>
      </c>
      <c r="J115" s="113" t="n"/>
      <c r="K115" s="113" t="n"/>
      <c r="L115" s="113" t="n"/>
      <c r="M115" s="117" t="n"/>
      <c r="N115" s="115" t="n"/>
      <c r="O115" s="118">
        <f>IF(G115&lt;&gt;"",TEXT(G115,"MMMM YYYY"),"")</f>
        <v/>
      </c>
      <c r="P115" s="118">
        <f>IF(G115&lt;&gt;"",YEAR(G115),"")</f>
        <v/>
      </c>
    </row>
    <row r="116" ht="21.75" customHeight="1" s="85">
      <c r="A116" s="119">
        <f>IF(B116&lt;&gt;"",ROW()-2,"")</f>
        <v/>
      </c>
      <c r="B116" s="120" t="n"/>
      <c r="C116" s="120" t="n"/>
      <c r="D116" s="120" t="n"/>
      <c r="E116" s="120" t="n"/>
      <c r="F116" s="120" t="n"/>
      <c r="G116" s="121" t="n"/>
      <c r="H116" s="122" t="n"/>
      <c r="I116" s="116">
        <f>IF(AND(G116&lt;&gt;"",H116="En cours"),TODAY()-G116,IF(AND(G116&lt;&gt;"",H116="Cloture"),TODAY()-G116,""))</f>
        <v/>
      </c>
      <c r="J116" s="120" t="n"/>
      <c r="K116" s="120" t="n"/>
      <c r="L116" s="120" t="n"/>
      <c r="M116" s="123" t="n"/>
      <c r="N116" s="122" t="n"/>
      <c r="O116" s="118">
        <f>IF(G116&lt;&gt;"",TEXT(G116,"MMMM YYYY"),"")</f>
        <v/>
      </c>
      <c r="P116" s="118">
        <f>IF(G116&lt;&gt;"",YEAR(G116),"")</f>
        <v/>
      </c>
    </row>
    <row r="117" ht="21.75" customHeight="1" s="85">
      <c r="A117" s="112">
        <f>IF(B117&lt;&gt;"",ROW()-2,"")</f>
        <v/>
      </c>
      <c r="B117" s="113" t="n"/>
      <c r="C117" s="113" t="n"/>
      <c r="D117" s="113" t="n"/>
      <c r="E117" s="113" t="n"/>
      <c r="F117" s="113" t="n"/>
      <c r="G117" s="114" t="n"/>
      <c r="H117" s="115" t="n"/>
      <c r="I117" s="116">
        <f>IF(AND(G117&lt;&gt;"",H117="En cours"),TODAY()-G117,IF(AND(G117&lt;&gt;"",H117="Cloture"),TODAY()-G117,""))</f>
        <v/>
      </c>
      <c r="J117" s="113" t="n"/>
      <c r="K117" s="113" t="n"/>
      <c r="L117" s="113" t="n"/>
      <c r="M117" s="117" t="n"/>
      <c r="N117" s="115" t="n"/>
      <c r="O117" s="118">
        <f>IF(G117&lt;&gt;"",TEXT(G117,"MMMM YYYY"),"")</f>
        <v/>
      </c>
      <c r="P117" s="118">
        <f>IF(G117&lt;&gt;"",YEAR(G117),"")</f>
        <v/>
      </c>
    </row>
    <row r="118" ht="21.75" customHeight="1" s="85">
      <c r="A118" s="119">
        <f>IF(B118&lt;&gt;"",ROW()-2,"")</f>
        <v/>
      </c>
      <c r="B118" s="120" t="n"/>
      <c r="C118" s="120" t="n"/>
      <c r="D118" s="120" t="n"/>
      <c r="E118" s="120" t="n"/>
      <c r="F118" s="120" t="n"/>
      <c r="G118" s="121" t="n"/>
      <c r="H118" s="122" t="n"/>
      <c r="I118" s="116">
        <f>IF(AND(G118&lt;&gt;"",H118="En cours"),TODAY()-G118,IF(AND(G118&lt;&gt;"",H118="Cloture"),TODAY()-G118,""))</f>
        <v/>
      </c>
      <c r="J118" s="120" t="n"/>
      <c r="K118" s="120" t="n"/>
      <c r="L118" s="120" t="n"/>
      <c r="M118" s="123" t="n"/>
      <c r="N118" s="122" t="n"/>
      <c r="O118" s="118">
        <f>IF(G118&lt;&gt;"",TEXT(G118,"MMMM YYYY"),"")</f>
        <v/>
      </c>
      <c r="P118" s="118">
        <f>IF(G118&lt;&gt;"",YEAR(G118),"")</f>
        <v/>
      </c>
    </row>
    <row r="119" ht="21.75" customHeight="1" s="85">
      <c r="A119" s="112">
        <f>IF(B119&lt;&gt;"",ROW()-2,"")</f>
        <v/>
      </c>
      <c r="B119" s="113" t="n"/>
      <c r="C119" s="113" t="n"/>
      <c r="D119" s="113" t="n"/>
      <c r="E119" s="113" t="n"/>
      <c r="F119" s="113" t="n"/>
      <c r="G119" s="114" t="n"/>
      <c r="H119" s="115" t="n"/>
      <c r="I119" s="116">
        <f>IF(AND(G119&lt;&gt;"",H119="En cours"),TODAY()-G119,IF(AND(G119&lt;&gt;"",H119="Cloture"),TODAY()-G119,""))</f>
        <v/>
      </c>
      <c r="J119" s="113" t="n"/>
      <c r="K119" s="113" t="n"/>
      <c r="L119" s="113" t="n"/>
      <c r="M119" s="117" t="n"/>
      <c r="N119" s="115" t="n"/>
      <c r="O119" s="118">
        <f>IF(G119&lt;&gt;"",TEXT(G119,"MMMM YYYY"),"")</f>
        <v/>
      </c>
      <c r="P119" s="118">
        <f>IF(G119&lt;&gt;"",YEAR(G119),"")</f>
        <v/>
      </c>
    </row>
    <row r="120" ht="21.75" customHeight="1" s="85">
      <c r="A120" s="119">
        <f>IF(B120&lt;&gt;"",ROW()-2,"")</f>
        <v/>
      </c>
      <c r="B120" s="120" t="n"/>
      <c r="C120" s="120" t="n"/>
      <c r="D120" s="120" t="n"/>
      <c r="E120" s="120" t="n"/>
      <c r="F120" s="120" t="n"/>
      <c r="G120" s="121" t="n"/>
      <c r="H120" s="122" t="n"/>
      <c r="I120" s="116">
        <f>IF(AND(G120&lt;&gt;"",H120="En cours"),TODAY()-G120,IF(AND(G120&lt;&gt;"",H120="Cloture"),TODAY()-G120,""))</f>
        <v/>
      </c>
      <c r="J120" s="120" t="n"/>
      <c r="K120" s="120" t="n"/>
      <c r="L120" s="120" t="n"/>
      <c r="M120" s="123" t="n"/>
      <c r="N120" s="122" t="n"/>
      <c r="O120" s="118">
        <f>IF(G120&lt;&gt;"",TEXT(G120,"MMMM YYYY"),"")</f>
        <v/>
      </c>
      <c r="P120" s="118">
        <f>IF(G120&lt;&gt;"",YEAR(G120),"")</f>
        <v/>
      </c>
    </row>
    <row r="121" ht="21.75" customHeight="1" s="85">
      <c r="A121" s="112">
        <f>IF(B121&lt;&gt;"",ROW()-2,"")</f>
        <v/>
      </c>
      <c r="B121" s="113" t="n"/>
      <c r="C121" s="113" t="n"/>
      <c r="D121" s="113" t="n"/>
      <c r="E121" s="113" t="n"/>
      <c r="F121" s="113" t="n"/>
      <c r="G121" s="114" t="n"/>
      <c r="H121" s="115" t="n"/>
      <c r="I121" s="116">
        <f>IF(AND(G121&lt;&gt;"",H121="En cours"),TODAY()-G121,IF(AND(G121&lt;&gt;"",H121="Cloture"),TODAY()-G121,""))</f>
        <v/>
      </c>
      <c r="J121" s="113" t="n"/>
      <c r="K121" s="113" t="n"/>
      <c r="L121" s="113" t="n"/>
      <c r="M121" s="117" t="n"/>
      <c r="N121" s="115" t="n"/>
      <c r="O121" s="118">
        <f>IF(G121&lt;&gt;"",TEXT(G121,"MMMM YYYY"),"")</f>
        <v/>
      </c>
      <c r="P121" s="118">
        <f>IF(G121&lt;&gt;"",YEAR(G121),"")</f>
        <v/>
      </c>
    </row>
    <row r="122" ht="21.75" customHeight="1" s="85">
      <c r="A122" s="119">
        <f>IF(B122&lt;&gt;"",ROW()-2,"")</f>
        <v/>
      </c>
      <c r="B122" s="120" t="n"/>
      <c r="C122" s="120" t="n"/>
      <c r="D122" s="120" t="n"/>
      <c r="E122" s="120" t="n"/>
      <c r="F122" s="120" t="n"/>
      <c r="G122" s="121" t="n"/>
      <c r="H122" s="122" t="n"/>
      <c r="I122" s="116">
        <f>IF(AND(G122&lt;&gt;"",H122="En cours"),TODAY()-G122,IF(AND(G122&lt;&gt;"",H122="Cloture"),TODAY()-G122,""))</f>
        <v/>
      </c>
      <c r="J122" s="120" t="n"/>
      <c r="K122" s="120" t="n"/>
      <c r="L122" s="120" t="n"/>
      <c r="M122" s="123" t="n"/>
      <c r="N122" s="122" t="n"/>
      <c r="O122" s="118">
        <f>IF(G122&lt;&gt;"",TEXT(G122,"MMMM YYYY"),"")</f>
        <v/>
      </c>
      <c r="P122" s="118">
        <f>IF(G122&lt;&gt;"",YEAR(G122),"")</f>
        <v/>
      </c>
    </row>
    <row r="123" ht="21.75" customHeight="1" s="85">
      <c r="A123" s="112">
        <f>IF(B123&lt;&gt;"",ROW()-2,"")</f>
        <v/>
      </c>
      <c r="B123" s="113" t="n"/>
      <c r="C123" s="113" t="n"/>
      <c r="D123" s="113" t="n"/>
      <c r="E123" s="113" t="n"/>
      <c r="F123" s="113" t="n"/>
      <c r="G123" s="114" t="n"/>
      <c r="H123" s="115" t="n"/>
      <c r="I123" s="116">
        <f>IF(AND(G123&lt;&gt;"",H123="En cours"),TODAY()-G123,IF(AND(G123&lt;&gt;"",H123="Cloture"),TODAY()-G123,""))</f>
        <v/>
      </c>
      <c r="J123" s="113" t="n"/>
      <c r="K123" s="113" t="n"/>
      <c r="L123" s="113" t="n"/>
      <c r="M123" s="117" t="n"/>
      <c r="N123" s="115" t="n"/>
      <c r="O123" s="118">
        <f>IF(G123&lt;&gt;"",TEXT(G123,"MMMM YYYY"),"")</f>
        <v/>
      </c>
      <c r="P123" s="118">
        <f>IF(G123&lt;&gt;"",YEAR(G123),"")</f>
        <v/>
      </c>
    </row>
    <row r="124" ht="21.75" customHeight="1" s="85">
      <c r="A124" s="119">
        <f>IF(B124&lt;&gt;"",ROW()-2,"")</f>
        <v/>
      </c>
      <c r="B124" s="120" t="n"/>
      <c r="C124" s="120" t="n"/>
      <c r="D124" s="120" t="n"/>
      <c r="E124" s="120" t="n"/>
      <c r="F124" s="120" t="n"/>
      <c r="G124" s="121" t="n"/>
      <c r="H124" s="122" t="n"/>
      <c r="I124" s="116">
        <f>IF(AND(G124&lt;&gt;"",H124="En cours"),TODAY()-G124,IF(AND(G124&lt;&gt;"",H124="Cloture"),TODAY()-G124,""))</f>
        <v/>
      </c>
      <c r="J124" s="120" t="n"/>
      <c r="K124" s="120" t="n"/>
      <c r="L124" s="120" t="n"/>
      <c r="M124" s="123" t="n"/>
      <c r="N124" s="122" t="n"/>
      <c r="O124" s="118">
        <f>IF(G124&lt;&gt;"",TEXT(G124,"MMMM YYYY"),"")</f>
        <v/>
      </c>
      <c r="P124" s="118">
        <f>IF(G124&lt;&gt;"",YEAR(G124),"")</f>
        <v/>
      </c>
    </row>
    <row r="125" ht="21.75" customHeight="1" s="85">
      <c r="A125" s="112">
        <f>IF(B125&lt;&gt;"",ROW()-2,"")</f>
        <v/>
      </c>
      <c r="B125" s="113" t="n"/>
      <c r="C125" s="113" t="n"/>
      <c r="D125" s="113" t="n"/>
      <c r="E125" s="113" t="n"/>
      <c r="F125" s="113" t="n"/>
      <c r="G125" s="114" t="n"/>
      <c r="H125" s="115" t="n"/>
      <c r="I125" s="116">
        <f>IF(AND(G125&lt;&gt;"",H125="En cours"),TODAY()-G125,IF(AND(G125&lt;&gt;"",H125="Cloture"),TODAY()-G125,""))</f>
        <v/>
      </c>
      <c r="J125" s="113" t="n"/>
      <c r="K125" s="113" t="n"/>
      <c r="L125" s="113" t="n"/>
      <c r="M125" s="117" t="n"/>
      <c r="N125" s="115" t="n"/>
      <c r="O125" s="118">
        <f>IF(G125&lt;&gt;"",TEXT(G125,"MMMM YYYY"),"")</f>
        <v/>
      </c>
      <c r="P125" s="118">
        <f>IF(G125&lt;&gt;"",YEAR(G125),"")</f>
        <v/>
      </c>
    </row>
    <row r="126" ht="21.75" customHeight="1" s="85">
      <c r="A126" s="119">
        <f>IF(B126&lt;&gt;"",ROW()-2,"")</f>
        <v/>
      </c>
      <c r="B126" s="120" t="n"/>
      <c r="C126" s="120" t="n"/>
      <c r="D126" s="120" t="n"/>
      <c r="E126" s="120" t="n"/>
      <c r="F126" s="120" t="n"/>
      <c r="G126" s="121" t="n"/>
      <c r="H126" s="122" t="n"/>
      <c r="I126" s="116">
        <f>IF(AND(G126&lt;&gt;"",H126="En cours"),TODAY()-G126,IF(AND(G126&lt;&gt;"",H126="Cloture"),TODAY()-G126,""))</f>
        <v/>
      </c>
      <c r="J126" s="120" t="n"/>
      <c r="K126" s="120" t="n"/>
      <c r="L126" s="120" t="n"/>
      <c r="M126" s="123" t="n"/>
      <c r="N126" s="122" t="n"/>
      <c r="O126" s="118">
        <f>IF(G126&lt;&gt;"",TEXT(G126,"MMMM YYYY"),"")</f>
        <v/>
      </c>
      <c r="P126" s="118">
        <f>IF(G126&lt;&gt;"",YEAR(G126),"")</f>
        <v/>
      </c>
    </row>
    <row r="127" ht="21.75" customHeight="1" s="85">
      <c r="A127" s="112">
        <f>IF(B127&lt;&gt;"",ROW()-2,"")</f>
        <v/>
      </c>
      <c r="B127" s="113" t="n"/>
      <c r="C127" s="113" t="n"/>
      <c r="D127" s="113" t="n"/>
      <c r="E127" s="113" t="n"/>
      <c r="F127" s="113" t="n"/>
      <c r="G127" s="114" t="n"/>
      <c r="H127" s="115" t="n"/>
      <c r="I127" s="116">
        <f>IF(AND(G127&lt;&gt;"",H127="En cours"),TODAY()-G127,IF(AND(G127&lt;&gt;"",H127="Cloture"),TODAY()-G127,""))</f>
        <v/>
      </c>
      <c r="J127" s="113" t="n"/>
      <c r="K127" s="113" t="n"/>
      <c r="L127" s="113" t="n"/>
      <c r="M127" s="117" t="n"/>
      <c r="N127" s="115" t="n"/>
      <c r="O127" s="118">
        <f>IF(G127&lt;&gt;"",TEXT(G127,"MMMM YYYY"),"")</f>
        <v/>
      </c>
      <c r="P127" s="118">
        <f>IF(G127&lt;&gt;"",YEAR(G127),"")</f>
        <v/>
      </c>
    </row>
    <row r="128" ht="21.75" customHeight="1" s="85">
      <c r="A128" s="119">
        <f>IF(B128&lt;&gt;"",ROW()-2,"")</f>
        <v/>
      </c>
      <c r="B128" s="120" t="n"/>
      <c r="C128" s="120" t="n"/>
      <c r="D128" s="120" t="n"/>
      <c r="E128" s="120" t="n"/>
      <c r="F128" s="120" t="n"/>
      <c r="G128" s="121" t="n"/>
      <c r="H128" s="122" t="n"/>
      <c r="I128" s="116">
        <f>IF(AND(G128&lt;&gt;"",H128="En cours"),TODAY()-G128,IF(AND(G128&lt;&gt;"",H128="Cloture"),TODAY()-G128,""))</f>
        <v/>
      </c>
      <c r="J128" s="120" t="n"/>
      <c r="K128" s="120" t="n"/>
      <c r="L128" s="120" t="n"/>
      <c r="M128" s="123" t="n"/>
      <c r="N128" s="122" t="n"/>
      <c r="O128" s="118">
        <f>IF(G128&lt;&gt;"",TEXT(G128,"MMMM YYYY"),"")</f>
        <v/>
      </c>
      <c r="P128" s="118">
        <f>IF(G128&lt;&gt;"",YEAR(G128),"")</f>
        <v/>
      </c>
    </row>
    <row r="129" ht="21.75" customHeight="1" s="85">
      <c r="A129" s="112">
        <f>IF(B129&lt;&gt;"",ROW()-2,"")</f>
        <v/>
      </c>
      <c r="B129" s="113" t="n"/>
      <c r="C129" s="113" t="n"/>
      <c r="D129" s="113" t="n"/>
      <c r="E129" s="113" t="n"/>
      <c r="F129" s="113" t="n"/>
      <c r="G129" s="114" t="n"/>
      <c r="H129" s="115" t="n"/>
      <c r="I129" s="116">
        <f>IF(AND(G129&lt;&gt;"",H129="En cours"),TODAY()-G129,IF(AND(G129&lt;&gt;"",H129="Cloture"),TODAY()-G129,""))</f>
        <v/>
      </c>
      <c r="J129" s="113" t="n"/>
      <c r="K129" s="113" t="n"/>
      <c r="L129" s="113" t="n"/>
      <c r="M129" s="117" t="n"/>
      <c r="N129" s="115" t="n"/>
      <c r="O129" s="118">
        <f>IF(G129&lt;&gt;"",TEXT(G129,"MMMM YYYY"),"")</f>
        <v/>
      </c>
      <c r="P129" s="118">
        <f>IF(G129&lt;&gt;"",YEAR(G129),"")</f>
        <v/>
      </c>
    </row>
    <row r="130" ht="21.75" customHeight="1" s="85">
      <c r="A130" s="119">
        <f>IF(B130&lt;&gt;"",ROW()-2,"")</f>
        <v/>
      </c>
      <c r="B130" s="120" t="n"/>
      <c r="C130" s="120" t="n"/>
      <c r="D130" s="120" t="n"/>
      <c r="E130" s="120" t="n"/>
      <c r="F130" s="120" t="n"/>
      <c r="G130" s="121" t="n"/>
      <c r="H130" s="122" t="n"/>
      <c r="I130" s="116">
        <f>IF(AND(G130&lt;&gt;"",H130="En cours"),TODAY()-G130,IF(AND(G130&lt;&gt;"",H130="Cloture"),TODAY()-G130,""))</f>
        <v/>
      </c>
      <c r="J130" s="120" t="n"/>
      <c r="K130" s="120" t="n"/>
      <c r="L130" s="120" t="n"/>
      <c r="M130" s="123" t="n"/>
      <c r="N130" s="122" t="n"/>
      <c r="O130" s="118">
        <f>IF(G130&lt;&gt;"",TEXT(G130,"MMMM YYYY"),"")</f>
        <v/>
      </c>
      <c r="P130" s="118">
        <f>IF(G130&lt;&gt;"",YEAR(G130),"")</f>
        <v/>
      </c>
    </row>
    <row r="131" ht="21.75" customHeight="1" s="85">
      <c r="A131" s="112">
        <f>IF(B131&lt;&gt;"",ROW()-2,"")</f>
        <v/>
      </c>
      <c r="B131" s="113" t="n"/>
      <c r="C131" s="113" t="n"/>
      <c r="D131" s="113" t="n"/>
      <c r="E131" s="113" t="n"/>
      <c r="F131" s="113" t="n"/>
      <c r="G131" s="114" t="n"/>
      <c r="H131" s="115" t="n"/>
      <c r="I131" s="116">
        <f>IF(AND(G131&lt;&gt;"",H131="En cours"),TODAY()-G131,IF(AND(G131&lt;&gt;"",H131="Cloture"),TODAY()-G131,""))</f>
        <v/>
      </c>
      <c r="J131" s="113" t="n"/>
      <c r="K131" s="113" t="n"/>
      <c r="L131" s="113" t="n"/>
      <c r="M131" s="117" t="n"/>
      <c r="N131" s="115" t="n"/>
      <c r="O131" s="118">
        <f>IF(G131&lt;&gt;"",TEXT(G131,"MMMM YYYY"),"")</f>
        <v/>
      </c>
      <c r="P131" s="118">
        <f>IF(G131&lt;&gt;"",YEAR(G131),"")</f>
        <v/>
      </c>
    </row>
    <row r="132" ht="21.75" customHeight="1" s="85">
      <c r="A132" s="119">
        <f>IF(B132&lt;&gt;"",ROW()-2,"")</f>
        <v/>
      </c>
      <c r="B132" s="120" t="n"/>
      <c r="C132" s="120" t="n"/>
      <c r="D132" s="120" t="n"/>
      <c r="E132" s="120" t="n"/>
      <c r="F132" s="120" t="n"/>
      <c r="G132" s="121" t="n"/>
      <c r="H132" s="122" t="n"/>
      <c r="I132" s="116">
        <f>IF(AND(G132&lt;&gt;"",H132="En cours"),TODAY()-G132,IF(AND(G132&lt;&gt;"",H132="Cloture"),TODAY()-G132,""))</f>
        <v/>
      </c>
      <c r="J132" s="120" t="n"/>
      <c r="K132" s="120" t="n"/>
      <c r="L132" s="120" t="n"/>
      <c r="M132" s="123" t="n"/>
      <c r="N132" s="122" t="n"/>
      <c r="O132" s="118">
        <f>IF(G132&lt;&gt;"",TEXT(G132,"MMMM YYYY"),"")</f>
        <v/>
      </c>
      <c r="P132" s="118">
        <f>IF(G132&lt;&gt;"",YEAR(G132),"")</f>
        <v/>
      </c>
    </row>
    <row r="133" ht="21.75" customHeight="1" s="85">
      <c r="A133" s="112">
        <f>IF(B133&lt;&gt;"",ROW()-2,"")</f>
        <v/>
      </c>
      <c r="B133" s="113" t="n"/>
      <c r="C133" s="113" t="n"/>
      <c r="D133" s="113" t="n"/>
      <c r="E133" s="113" t="n"/>
      <c r="F133" s="113" t="n"/>
      <c r="G133" s="114" t="n"/>
      <c r="H133" s="115" t="n"/>
      <c r="I133" s="116">
        <f>IF(AND(G133&lt;&gt;"",H133="En cours"),TODAY()-G133,IF(AND(G133&lt;&gt;"",H133="Cloture"),TODAY()-G133,""))</f>
        <v/>
      </c>
      <c r="J133" s="113" t="n"/>
      <c r="K133" s="113" t="n"/>
      <c r="L133" s="113" t="n"/>
      <c r="M133" s="117" t="n"/>
      <c r="N133" s="115" t="n"/>
      <c r="O133" s="118">
        <f>IF(G133&lt;&gt;"",TEXT(G133,"MMMM YYYY"),"")</f>
        <v/>
      </c>
      <c r="P133" s="118">
        <f>IF(G133&lt;&gt;"",YEAR(G133),"")</f>
        <v/>
      </c>
    </row>
    <row r="134" ht="21.75" customHeight="1" s="85">
      <c r="A134" s="119">
        <f>IF(B134&lt;&gt;"",ROW()-2,"")</f>
        <v/>
      </c>
      <c r="B134" s="120" t="n"/>
      <c r="C134" s="120" t="n"/>
      <c r="D134" s="120" t="n"/>
      <c r="E134" s="120" t="n"/>
      <c r="F134" s="120" t="n"/>
      <c r="G134" s="121" t="n"/>
      <c r="H134" s="122" t="n"/>
      <c r="I134" s="116">
        <f>IF(AND(G134&lt;&gt;"",H134="En cours"),TODAY()-G134,IF(AND(G134&lt;&gt;"",H134="Cloture"),TODAY()-G134,""))</f>
        <v/>
      </c>
      <c r="J134" s="120" t="n"/>
      <c r="K134" s="120" t="n"/>
      <c r="L134" s="120" t="n"/>
      <c r="M134" s="123" t="n"/>
      <c r="N134" s="122" t="n"/>
      <c r="O134" s="118">
        <f>IF(G134&lt;&gt;"",TEXT(G134,"MMMM YYYY"),"")</f>
        <v/>
      </c>
      <c r="P134" s="118">
        <f>IF(G134&lt;&gt;"",YEAR(G134),"")</f>
        <v/>
      </c>
    </row>
    <row r="135" ht="21.75" customHeight="1" s="85">
      <c r="A135" s="112">
        <f>IF(B135&lt;&gt;"",ROW()-2,"")</f>
        <v/>
      </c>
      <c r="B135" s="113" t="n"/>
      <c r="C135" s="113" t="n"/>
      <c r="D135" s="113" t="n"/>
      <c r="E135" s="113" t="n"/>
      <c r="F135" s="113" t="n"/>
      <c r="G135" s="114" t="n"/>
      <c r="H135" s="115" t="n"/>
      <c r="I135" s="116">
        <f>IF(AND(G135&lt;&gt;"",H135="En cours"),TODAY()-G135,IF(AND(G135&lt;&gt;"",H135="Cloture"),TODAY()-G135,""))</f>
        <v/>
      </c>
      <c r="J135" s="113" t="n"/>
      <c r="K135" s="113" t="n"/>
      <c r="L135" s="113" t="n"/>
      <c r="M135" s="117" t="n"/>
      <c r="N135" s="115" t="n"/>
      <c r="O135" s="118">
        <f>IF(G135&lt;&gt;"",TEXT(G135,"MMMM YYYY"),"")</f>
        <v/>
      </c>
      <c r="P135" s="118">
        <f>IF(G135&lt;&gt;"",YEAR(G135),"")</f>
        <v/>
      </c>
    </row>
    <row r="136" ht="21.75" customHeight="1" s="85">
      <c r="A136" s="119">
        <f>IF(B136&lt;&gt;"",ROW()-2,"")</f>
        <v/>
      </c>
      <c r="B136" s="120" t="n"/>
      <c r="C136" s="120" t="n"/>
      <c r="D136" s="120" t="n"/>
      <c r="E136" s="120" t="n"/>
      <c r="F136" s="120" t="n"/>
      <c r="G136" s="121" t="n"/>
      <c r="H136" s="122" t="n"/>
      <c r="I136" s="116">
        <f>IF(AND(G136&lt;&gt;"",H136="En cours"),TODAY()-G136,IF(AND(G136&lt;&gt;"",H136="Cloture"),TODAY()-G136,""))</f>
        <v/>
      </c>
      <c r="J136" s="120" t="n"/>
      <c r="K136" s="120" t="n"/>
      <c r="L136" s="120" t="n"/>
      <c r="M136" s="123" t="n"/>
      <c r="N136" s="122" t="n"/>
      <c r="O136" s="118">
        <f>IF(G136&lt;&gt;"",TEXT(G136,"MMMM YYYY"),"")</f>
        <v/>
      </c>
      <c r="P136" s="118">
        <f>IF(G136&lt;&gt;"",YEAR(G136),"")</f>
        <v/>
      </c>
    </row>
    <row r="137" ht="21.75" customHeight="1" s="85">
      <c r="A137" s="112">
        <f>IF(B137&lt;&gt;"",ROW()-2,"")</f>
        <v/>
      </c>
      <c r="B137" s="113" t="n"/>
      <c r="C137" s="113" t="n"/>
      <c r="D137" s="113" t="n"/>
      <c r="E137" s="113" t="n"/>
      <c r="F137" s="113" t="n"/>
      <c r="G137" s="114" t="n"/>
      <c r="H137" s="115" t="n"/>
      <c r="I137" s="116">
        <f>IF(AND(G137&lt;&gt;"",H137="En cours"),TODAY()-G137,IF(AND(G137&lt;&gt;"",H137="Cloture"),TODAY()-G137,""))</f>
        <v/>
      </c>
      <c r="J137" s="113" t="n"/>
      <c r="K137" s="113" t="n"/>
      <c r="L137" s="113" t="n"/>
      <c r="M137" s="117" t="n"/>
      <c r="N137" s="115" t="n"/>
      <c r="O137" s="118">
        <f>IF(G137&lt;&gt;"",TEXT(G137,"MMMM YYYY"),"")</f>
        <v/>
      </c>
      <c r="P137" s="118">
        <f>IF(G137&lt;&gt;"",YEAR(G137),"")</f>
        <v/>
      </c>
    </row>
    <row r="138" ht="21.75" customHeight="1" s="85">
      <c r="A138" s="119">
        <f>IF(B138&lt;&gt;"",ROW()-2,"")</f>
        <v/>
      </c>
      <c r="B138" s="120" t="n"/>
      <c r="C138" s="120" t="n"/>
      <c r="D138" s="120" t="n"/>
      <c r="E138" s="120" t="n"/>
      <c r="F138" s="120" t="n"/>
      <c r="G138" s="121" t="n"/>
      <c r="H138" s="122" t="n"/>
      <c r="I138" s="116">
        <f>IF(AND(G138&lt;&gt;"",H138="En cours"),TODAY()-G138,IF(AND(G138&lt;&gt;"",H138="Cloture"),TODAY()-G138,""))</f>
        <v/>
      </c>
      <c r="J138" s="120" t="n"/>
      <c r="K138" s="120" t="n"/>
      <c r="L138" s="120" t="n"/>
      <c r="M138" s="123" t="n"/>
      <c r="N138" s="122" t="n"/>
      <c r="O138" s="118">
        <f>IF(G138&lt;&gt;"",TEXT(G138,"MMMM YYYY"),"")</f>
        <v/>
      </c>
      <c r="P138" s="118">
        <f>IF(G138&lt;&gt;"",YEAR(G138),"")</f>
        <v/>
      </c>
    </row>
    <row r="139" ht="21.75" customHeight="1" s="85">
      <c r="A139" s="112">
        <f>IF(B139&lt;&gt;"",ROW()-2,"")</f>
        <v/>
      </c>
      <c r="B139" s="113" t="n"/>
      <c r="C139" s="113" t="n"/>
      <c r="D139" s="113" t="n"/>
      <c r="E139" s="113" t="n"/>
      <c r="F139" s="113" t="n"/>
      <c r="G139" s="114" t="n"/>
      <c r="H139" s="115" t="n"/>
      <c r="I139" s="116">
        <f>IF(AND(G139&lt;&gt;"",H139="En cours"),TODAY()-G139,IF(AND(G139&lt;&gt;"",H139="Cloture"),TODAY()-G139,""))</f>
        <v/>
      </c>
      <c r="J139" s="113" t="n"/>
      <c r="K139" s="113" t="n"/>
      <c r="L139" s="113" t="n"/>
      <c r="M139" s="117" t="n"/>
      <c r="N139" s="115" t="n"/>
      <c r="O139" s="118">
        <f>IF(G139&lt;&gt;"",TEXT(G139,"MMMM YYYY"),"")</f>
        <v/>
      </c>
      <c r="P139" s="118">
        <f>IF(G139&lt;&gt;"",YEAR(G139),"")</f>
        <v/>
      </c>
    </row>
    <row r="140" ht="21.75" customHeight="1" s="85">
      <c r="A140" s="119">
        <f>IF(B140&lt;&gt;"",ROW()-2,"")</f>
        <v/>
      </c>
      <c r="B140" s="120" t="n"/>
      <c r="C140" s="120" t="n"/>
      <c r="D140" s="120" t="n"/>
      <c r="E140" s="120" t="n"/>
      <c r="F140" s="120" t="n"/>
      <c r="G140" s="121" t="n"/>
      <c r="H140" s="122" t="n"/>
      <c r="I140" s="116">
        <f>IF(AND(G140&lt;&gt;"",H140="En cours"),TODAY()-G140,IF(AND(G140&lt;&gt;"",H140="Cloture"),TODAY()-G140,""))</f>
        <v/>
      </c>
      <c r="J140" s="120" t="n"/>
      <c r="K140" s="120" t="n"/>
      <c r="L140" s="120" t="n"/>
      <c r="M140" s="123" t="n"/>
      <c r="N140" s="122" t="n"/>
      <c r="O140" s="118">
        <f>IF(G140&lt;&gt;"",TEXT(G140,"MMMM YYYY"),"")</f>
        <v/>
      </c>
      <c r="P140" s="118">
        <f>IF(G140&lt;&gt;"",YEAR(G140),"")</f>
        <v/>
      </c>
    </row>
    <row r="141" ht="21.75" customHeight="1" s="85">
      <c r="A141" s="112">
        <f>IF(B141&lt;&gt;"",ROW()-2,"")</f>
        <v/>
      </c>
      <c r="B141" s="113" t="n"/>
      <c r="C141" s="113" t="n"/>
      <c r="D141" s="113" t="n"/>
      <c r="E141" s="113" t="n"/>
      <c r="F141" s="113" t="n"/>
      <c r="G141" s="114" t="n"/>
      <c r="H141" s="115" t="n"/>
      <c r="I141" s="116">
        <f>IF(AND(G141&lt;&gt;"",H141="En cours"),TODAY()-G141,IF(AND(G141&lt;&gt;"",H141="Cloture"),TODAY()-G141,""))</f>
        <v/>
      </c>
      <c r="J141" s="113" t="n"/>
      <c r="K141" s="113" t="n"/>
      <c r="L141" s="113" t="n"/>
      <c r="M141" s="117" t="n"/>
      <c r="N141" s="115" t="n"/>
      <c r="O141" s="118">
        <f>IF(G141&lt;&gt;"",TEXT(G141,"MMMM YYYY"),"")</f>
        <v/>
      </c>
      <c r="P141" s="118">
        <f>IF(G141&lt;&gt;"",YEAR(G141),"")</f>
        <v/>
      </c>
    </row>
    <row r="142" ht="21.75" customHeight="1" s="85">
      <c r="A142" s="119">
        <f>IF(B142&lt;&gt;"",ROW()-2,"")</f>
        <v/>
      </c>
      <c r="B142" s="120" t="n"/>
      <c r="C142" s="120" t="n"/>
      <c r="D142" s="120" t="n"/>
      <c r="E142" s="120" t="n"/>
      <c r="F142" s="120" t="n"/>
      <c r="G142" s="121" t="n"/>
      <c r="H142" s="122" t="n"/>
      <c r="I142" s="116">
        <f>IF(AND(G142&lt;&gt;"",H142="En cours"),TODAY()-G142,IF(AND(G142&lt;&gt;"",H142="Cloture"),TODAY()-G142,""))</f>
        <v/>
      </c>
      <c r="J142" s="120" t="n"/>
      <c r="K142" s="120" t="n"/>
      <c r="L142" s="120" t="n"/>
      <c r="M142" s="123" t="n"/>
      <c r="N142" s="122" t="n"/>
      <c r="O142" s="118">
        <f>IF(G142&lt;&gt;"",TEXT(G142,"MMMM YYYY"),"")</f>
        <v/>
      </c>
      <c r="P142" s="118">
        <f>IF(G142&lt;&gt;"",YEAR(G142),"")</f>
        <v/>
      </c>
    </row>
    <row r="143" ht="21.75" customHeight="1" s="85">
      <c r="A143" s="112">
        <f>IF(B143&lt;&gt;"",ROW()-2,"")</f>
        <v/>
      </c>
      <c r="B143" s="113" t="n"/>
      <c r="C143" s="113" t="n"/>
      <c r="D143" s="113" t="n"/>
      <c r="E143" s="113" t="n"/>
      <c r="F143" s="113" t="n"/>
      <c r="G143" s="114" t="n"/>
      <c r="H143" s="115" t="n"/>
      <c r="I143" s="116">
        <f>IF(AND(G143&lt;&gt;"",H143="En cours"),TODAY()-G143,IF(AND(G143&lt;&gt;"",H143="Cloture"),TODAY()-G143,""))</f>
        <v/>
      </c>
      <c r="J143" s="113" t="n"/>
      <c r="K143" s="113" t="n"/>
      <c r="L143" s="113" t="n"/>
      <c r="M143" s="117" t="n"/>
      <c r="N143" s="115" t="n"/>
      <c r="O143" s="118">
        <f>IF(G143&lt;&gt;"",TEXT(G143,"MMMM YYYY"),"")</f>
        <v/>
      </c>
      <c r="P143" s="118">
        <f>IF(G143&lt;&gt;"",YEAR(G143),"")</f>
        <v/>
      </c>
    </row>
    <row r="144" ht="21.75" customHeight="1" s="85">
      <c r="A144" s="119">
        <f>IF(B144&lt;&gt;"",ROW()-2,"")</f>
        <v/>
      </c>
      <c r="B144" s="120" t="n"/>
      <c r="C144" s="120" t="n"/>
      <c r="D144" s="120" t="n"/>
      <c r="E144" s="120" t="n"/>
      <c r="F144" s="120" t="n"/>
      <c r="G144" s="121" t="n"/>
      <c r="H144" s="122" t="n"/>
      <c r="I144" s="116">
        <f>IF(AND(G144&lt;&gt;"",H144="En cours"),TODAY()-G144,IF(AND(G144&lt;&gt;"",H144="Cloture"),TODAY()-G144,""))</f>
        <v/>
      </c>
      <c r="J144" s="120" t="n"/>
      <c r="K144" s="120" t="n"/>
      <c r="L144" s="120" t="n"/>
      <c r="M144" s="123" t="n"/>
      <c r="N144" s="122" t="n"/>
      <c r="O144" s="118">
        <f>IF(G144&lt;&gt;"",TEXT(G144,"MMMM YYYY"),"")</f>
        <v/>
      </c>
      <c r="P144" s="118">
        <f>IF(G144&lt;&gt;"",YEAR(G144),"")</f>
        <v/>
      </c>
    </row>
    <row r="145" ht="21.75" customHeight="1" s="85">
      <c r="A145" s="112">
        <f>IF(B145&lt;&gt;"",ROW()-2,"")</f>
        <v/>
      </c>
      <c r="B145" s="113" t="n"/>
      <c r="C145" s="113" t="n"/>
      <c r="D145" s="113" t="n"/>
      <c r="E145" s="113" t="n"/>
      <c r="F145" s="113" t="n"/>
      <c r="G145" s="114" t="n"/>
      <c r="H145" s="115" t="n"/>
      <c r="I145" s="116">
        <f>IF(AND(G145&lt;&gt;"",H145="En cours"),TODAY()-G145,IF(AND(G145&lt;&gt;"",H145="Cloture"),TODAY()-G145,""))</f>
        <v/>
      </c>
      <c r="J145" s="113" t="n"/>
      <c r="K145" s="113" t="n"/>
      <c r="L145" s="113" t="n"/>
      <c r="M145" s="117" t="n"/>
      <c r="N145" s="115" t="n"/>
      <c r="O145" s="118">
        <f>IF(G145&lt;&gt;"",TEXT(G145,"MMMM YYYY"),"")</f>
        <v/>
      </c>
      <c r="P145" s="118">
        <f>IF(G145&lt;&gt;"",YEAR(G145),"")</f>
        <v/>
      </c>
    </row>
    <row r="146" ht="21.75" customHeight="1" s="85">
      <c r="A146" s="119">
        <f>IF(B146&lt;&gt;"",ROW()-2,"")</f>
        <v/>
      </c>
      <c r="B146" s="120" t="n"/>
      <c r="C146" s="120" t="n"/>
      <c r="D146" s="120" t="n"/>
      <c r="E146" s="120" t="n"/>
      <c r="F146" s="120" t="n"/>
      <c r="G146" s="121" t="n"/>
      <c r="H146" s="122" t="n"/>
      <c r="I146" s="116">
        <f>IF(AND(G146&lt;&gt;"",H146="En cours"),TODAY()-G146,IF(AND(G146&lt;&gt;"",H146="Cloture"),TODAY()-G146,""))</f>
        <v/>
      </c>
      <c r="J146" s="120" t="n"/>
      <c r="K146" s="120" t="n"/>
      <c r="L146" s="120" t="n"/>
      <c r="M146" s="123" t="n"/>
      <c r="N146" s="122" t="n"/>
      <c r="O146" s="118">
        <f>IF(G146&lt;&gt;"",TEXT(G146,"MMMM YYYY"),"")</f>
        <v/>
      </c>
      <c r="P146" s="118">
        <f>IF(G146&lt;&gt;"",YEAR(G146),"")</f>
        <v/>
      </c>
    </row>
    <row r="147" ht="21.75" customHeight="1" s="85">
      <c r="A147" s="112">
        <f>IF(B147&lt;&gt;"",ROW()-2,"")</f>
        <v/>
      </c>
      <c r="B147" s="113" t="n"/>
      <c r="C147" s="113" t="n"/>
      <c r="D147" s="113" t="n"/>
      <c r="E147" s="113" t="n"/>
      <c r="F147" s="113" t="n"/>
      <c r="G147" s="114" t="n"/>
      <c r="H147" s="115" t="n"/>
      <c r="I147" s="116">
        <f>IF(AND(G147&lt;&gt;"",H147="En cours"),TODAY()-G147,IF(AND(G147&lt;&gt;"",H147="Cloture"),TODAY()-G147,""))</f>
        <v/>
      </c>
      <c r="J147" s="113" t="n"/>
      <c r="K147" s="113" t="n"/>
      <c r="L147" s="113" t="n"/>
      <c r="M147" s="117" t="n"/>
      <c r="N147" s="115" t="n"/>
      <c r="O147" s="118">
        <f>IF(G147&lt;&gt;"",TEXT(G147,"MMMM YYYY"),"")</f>
        <v/>
      </c>
      <c r="P147" s="118">
        <f>IF(G147&lt;&gt;"",YEAR(G147),"")</f>
        <v/>
      </c>
    </row>
    <row r="148" ht="21.75" customHeight="1" s="85">
      <c r="A148" s="119">
        <f>IF(B148&lt;&gt;"",ROW()-2,"")</f>
        <v/>
      </c>
      <c r="B148" s="120" t="n"/>
      <c r="C148" s="120" t="n"/>
      <c r="D148" s="120" t="n"/>
      <c r="E148" s="120" t="n"/>
      <c r="F148" s="120" t="n"/>
      <c r="G148" s="121" t="n"/>
      <c r="H148" s="122" t="n"/>
      <c r="I148" s="116">
        <f>IF(AND(G148&lt;&gt;"",H148="En cours"),TODAY()-G148,IF(AND(G148&lt;&gt;"",H148="Cloture"),TODAY()-G148,""))</f>
        <v/>
      </c>
      <c r="J148" s="120" t="n"/>
      <c r="K148" s="120" t="n"/>
      <c r="L148" s="120" t="n"/>
      <c r="M148" s="123" t="n"/>
      <c r="N148" s="122" t="n"/>
      <c r="O148" s="118">
        <f>IF(G148&lt;&gt;"",TEXT(G148,"MMMM YYYY"),"")</f>
        <v/>
      </c>
      <c r="P148" s="118">
        <f>IF(G148&lt;&gt;"",YEAR(G148),"")</f>
        <v/>
      </c>
    </row>
    <row r="149" ht="21.75" customHeight="1" s="85">
      <c r="A149" s="112">
        <f>IF(B149&lt;&gt;"",ROW()-2,"")</f>
        <v/>
      </c>
      <c r="B149" s="113" t="n"/>
      <c r="C149" s="113" t="n"/>
      <c r="D149" s="113" t="n"/>
      <c r="E149" s="113" t="n"/>
      <c r="F149" s="113" t="n"/>
      <c r="G149" s="114" t="n"/>
      <c r="H149" s="115" t="n"/>
      <c r="I149" s="116">
        <f>IF(AND(G149&lt;&gt;"",H149="En cours"),TODAY()-G149,IF(AND(G149&lt;&gt;"",H149="Cloture"),TODAY()-G149,""))</f>
        <v/>
      </c>
      <c r="J149" s="113" t="n"/>
      <c r="K149" s="113" t="n"/>
      <c r="L149" s="113" t="n"/>
      <c r="M149" s="117" t="n"/>
      <c r="N149" s="115" t="n"/>
      <c r="O149" s="118">
        <f>IF(G149&lt;&gt;"",TEXT(G149,"MMMM YYYY"),"")</f>
        <v/>
      </c>
      <c r="P149" s="118">
        <f>IF(G149&lt;&gt;"",YEAR(G149),"")</f>
        <v/>
      </c>
    </row>
    <row r="150" ht="21.75" customHeight="1" s="85">
      <c r="A150" s="119">
        <f>IF(B150&lt;&gt;"",ROW()-2,"")</f>
        <v/>
      </c>
      <c r="B150" s="120" t="n"/>
      <c r="C150" s="120" t="n"/>
      <c r="D150" s="120" t="n"/>
      <c r="E150" s="120" t="n"/>
      <c r="F150" s="120" t="n"/>
      <c r="G150" s="121" t="n"/>
      <c r="H150" s="122" t="n"/>
      <c r="I150" s="116">
        <f>IF(AND(G150&lt;&gt;"",H150="En cours"),TODAY()-G150,IF(AND(G150&lt;&gt;"",H150="Cloture"),TODAY()-G150,""))</f>
        <v/>
      </c>
      <c r="J150" s="120" t="n"/>
      <c r="K150" s="120" t="n"/>
      <c r="L150" s="120" t="n"/>
      <c r="M150" s="123" t="n"/>
      <c r="N150" s="122" t="n"/>
      <c r="O150" s="118">
        <f>IF(G150&lt;&gt;"",TEXT(G150,"MMMM YYYY"),"")</f>
        <v/>
      </c>
      <c r="P150" s="118">
        <f>IF(G150&lt;&gt;"",YEAR(G150),"")</f>
        <v/>
      </c>
    </row>
    <row r="151" ht="21.75" customHeight="1" s="85">
      <c r="A151" s="112">
        <f>IF(B151&lt;&gt;"",ROW()-2,"")</f>
        <v/>
      </c>
      <c r="B151" s="113" t="n"/>
      <c r="C151" s="113" t="n"/>
      <c r="D151" s="113" t="n"/>
      <c r="E151" s="113" t="n"/>
      <c r="F151" s="113" t="n"/>
      <c r="G151" s="114" t="n"/>
      <c r="H151" s="115" t="n"/>
      <c r="I151" s="116">
        <f>IF(AND(G151&lt;&gt;"",H151="En cours"),TODAY()-G151,IF(AND(G151&lt;&gt;"",H151="Cloture"),TODAY()-G151,""))</f>
        <v/>
      </c>
      <c r="J151" s="113" t="n"/>
      <c r="K151" s="113" t="n"/>
      <c r="L151" s="113" t="n"/>
      <c r="M151" s="117" t="n"/>
      <c r="N151" s="115" t="n"/>
      <c r="O151" s="118">
        <f>IF(G151&lt;&gt;"",TEXT(G151,"MMMM YYYY"),"")</f>
        <v/>
      </c>
      <c r="P151" s="118">
        <f>IF(G151&lt;&gt;"",YEAR(G151),"")</f>
        <v/>
      </c>
    </row>
    <row r="152" ht="21.75" customHeight="1" s="85">
      <c r="A152" s="119">
        <f>IF(B152&lt;&gt;"",ROW()-2,"")</f>
        <v/>
      </c>
      <c r="B152" s="120" t="n"/>
      <c r="C152" s="120" t="n"/>
      <c r="D152" s="120" t="n"/>
      <c r="E152" s="120" t="n"/>
      <c r="F152" s="120" t="n"/>
      <c r="G152" s="121" t="n"/>
      <c r="H152" s="122" t="n"/>
      <c r="I152" s="116">
        <f>IF(AND(G152&lt;&gt;"",H152="En cours"),TODAY()-G152,IF(AND(G152&lt;&gt;"",H152="Cloture"),TODAY()-G152,""))</f>
        <v/>
      </c>
      <c r="J152" s="120" t="n"/>
      <c r="K152" s="120" t="n"/>
      <c r="L152" s="120" t="n"/>
      <c r="M152" s="123" t="n"/>
      <c r="N152" s="122" t="n"/>
      <c r="O152" s="118">
        <f>IF(G152&lt;&gt;"",TEXT(G152,"MMMM YYYY"),"")</f>
        <v/>
      </c>
      <c r="P152" s="118">
        <f>IF(G152&lt;&gt;"",YEAR(G152),"")</f>
        <v/>
      </c>
    </row>
    <row r="153" ht="21.75" customHeight="1" s="85">
      <c r="A153" s="112">
        <f>IF(B153&lt;&gt;"",ROW()-2,"")</f>
        <v/>
      </c>
      <c r="B153" s="113" t="n"/>
      <c r="C153" s="113" t="n"/>
      <c r="D153" s="113" t="n"/>
      <c r="E153" s="113" t="n"/>
      <c r="F153" s="113" t="n"/>
      <c r="G153" s="114" t="n"/>
      <c r="H153" s="115" t="n"/>
      <c r="I153" s="116">
        <f>IF(AND(G153&lt;&gt;"",H153="En cours"),TODAY()-G153,IF(AND(G153&lt;&gt;"",H153="Cloture"),TODAY()-G153,""))</f>
        <v/>
      </c>
      <c r="J153" s="113" t="n"/>
      <c r="K153" s="113" t="n"/>
      <c r="L153" s="113" t="n"/>
      <c r="M153" s="117" t="n"/>
      <c r="N153" s="115" t="n"/>
      <c r="O153" s="118">
        <f>IF(G153&lt;&gt;"",TEXT(G153,"MMMM YYYY"),"")</f>
        <v/>
      </c>
      <c r="P153" s="118">
        <f>IF(G153&lt;&gt;"",YEAR(G153),"")</f>
        <v/>
      </c>
    </row>
    <row r="154" ht="21.75" customHeight="1" s="85">
      <c r="A154" s="119">
        <f>IF(B154&lt;&gt;"",ROW()-2,"")</f>
        <v/>
      </c>
      <c r="B154" s="120" t="n"/>
      <c r="C154" s="120" t="n"/>
      <c r="D154" s="120" t="n"/>
      <c r="E154" s="120" t="n"/>
      <c r="F154" s="120" t="n"/>
      <c r="G154" s="121" t="n"/>
      <c r="H154" s="122" t="n"/>
      <c r="I154" s="116">
        <f>IF(AND(G154&lt;&gt;"",H154="En cours"),TODAY()-G154,IF(AND(G154&lt;&gt;"",H154="Cloture"),TODAY()-G154,""))</f>
        <v/>
      </c>
      <c r="J154" s="120" t="n"/>
      <c r="K154" s="120" t="n"/>
      <c r="L154" s="120" t="n"/>
      <c r="M154" s="123" t="n"/>
      <c r="N154" s="122" t="n"/>
      <c r="O154" s="118">
        <f>IF(G154&lt;&gt;"",TEXT(G154,"MMMM YYYY"),"")</f>
        <v/>
      </c>
      <c r="P154" s="118">
        <f>IF(G154&lt;&gt;"",YEAR(G154),"")</f>
        <v/>
      </c>
    </row>
    <row r="155" ht="21.75" customHeight="1" s="85">
      <c r="A155" s="112">
        <f>IF(B155&lt;&gt;"",ROW()-2,"")</f>
        <v/>
      </c>
      <c r="B155" s="113" t="n"/>
      <c r="C155" s="113" t="n"/>
      <c r="D155" s="113" t="n"/>
      <c r="E155" s="113" t="n"/>
      <c r="F155" s="113" t="n"/>
      <c r="G155" s="114" t="n"/>
      <c r="H155" s="115" t="n"/>
      <c r="I155" s="116">
        <f>IF(AND(G155&lt;&gt;"",H155="En cours"),TODAY()-G155,IF(AND(G155&lt;&gt;"",H155="Cloture"),TODAY()-G155,""))</f>
        <v/>
      </c>
      <c r="J155" s="113" t="n"/>
      <c r="K155" s="113" t="n"/>
      <c r="L155" s="113" t="n"/>
      <c r="M155" s="117" t="n"/>
      <c r="N155" s="115" t="n"/>
      <c r="O155" s="118">
        <f>IF(G155&lt;&gt;"",TEXT(G155,"MMMM YYYY"),"")</f>
        <v/>
      </c>
      <c r="P155" s="118">
        <f>IF(G155&lt;&gt;"",YEAR(G155),"")</f>
        <v/>
      </c>
    </row>
    <row r="156" ht="21.75" customHeight="1" s="85">
      <c r="A156" s="119">
        <f>IF(B156&lt;&gt;"",ROW()-2,"")</f>
        <v/>
      </c>
      <c r="B156" s="120" t="n"/>
      <c r="C156" s="120" t="n"/>
      <c r="D156" s="120" t="n"/>
      <c r="E156" s="120" t="n"/>
      <c r="F156" s="120" t="n"/>
      <c r="G156" s="121" t="n"/>
      <c r="H156" s="122" t="n"/>
      <c r="I156" s="116">
        <f>IF(AND(G156&lt;&gt;"",H156="En cours"),TODAY()-G156,IF(AND(G156&lt;&gt;"",H156="Cloture"),TODAY()-G156,""))</f>
        <v/>
      </c>
      <c r="J156" s="120" t="n"/>
      <c r="K156" s="120" t="n"/>
      <c r="L156" s="120" t="n"/>
      <c r="M156" s="123" t="n"/>
      <c r="N156" s="122" t="n"/>
      <c r="O156" s="118">
        <f>IF(G156&lt;&gt;"",TEXT(G156,"MMMM YYYY"),"")</f>
        <v/>
      </c>
      <c r="P156" s="118">
        <f>IF(G156&lt;&gt;"",YEAR(G156),"")</f>
        <v/>
      </c>
    </row>
    <row r="157" ht="21.75" customHeight="1" s="85">
      <c r="A157" s="112">
        <f>IF(B157&lt;&gt;"",ROW()-2,"")</f>
        <v/>
      </c>
      <c r="B157" s="113" t="n"/>
      <c r="C157" s="113" t="n"/>
      <c r="D157" s="113" t="n"/>
      <c r="E157" s="113" t="n"/>
      <c r="F157" s="113" t="n"/>
      <c r="G157" s="114" t="n"/>
      <c r="H157" s="115" t="n"/>
      <c r="I157" s="116">
        <f>IF(AND(G157&lt;&gt;"",H157="En cours"),TODAY()-G157,IF(AND(G157&lt;&gt;"",H157="Cloture"),TODAY()-G157,""))</f>
        <v/>
      </c>
      <c r="J157" s="113" t="n"/>
      <c r="K157" s="113" t="n"/>
      <c r="L157" s="113" t="n"/>
      <c r="M157" s="117" t="n"/>
      <c r="N157" s="115" t="n"/>
      <c r="O157" s="118">
        <f>IF(G157&lt;&gt;"",TEXT(G157,"MMMM YYYY"),"")</f>
        <v/>
      </c>
      <c r="P157" s="118">
        <f>IF(G157&lt;&gt;"",YEAR(G157),"")</f>
        <v/>
      </c>
    </row>
    <row r="158" ht="21.75" customHeight="1" s="85">
      <c r="A158" s="119">
        <f>IF(B158&lt;&gt;"",ROW()-2,"")</f>
        <v/>
      </c>
      <c r="B158" s="120" t="n"/>
      <c r="C158" s="120" t="n"/>
      <c r="D158" s="120" t="n"/>
      <c r="E158" s="120" t="n"/>
      <c r="F158" s="120" t="n"/>
      <c r="G158" s="121" t="n"/>
      <c r="H158" s="122" t="n"/>
      <c r="I158" s="116">
        <f>IF(AND(G158&lt;&gt;"",H158="En cours"),TODAY()-G158,IF(AND(G158&lt;&gt;"",H158="Cloture"),TODAY()-G158,""))</f>
        <v/>
      </c>
      <c r="J158" s="120" t="n"/>
      <c r="K158" s="120" t="n"/>
      <c r="L158" s="120" t="n"/>
      <c r="M158" s="123" t="n"/>
      <c r="N158" s="122" t="n"/>
      <c r="O158" s="118">
        <f>IF(G158&lt;&gt;"",TEXT(G158,"MMMM YYYY"),"")</f>
        <v/>
      </c>
      <c r="P158" s="118">
        <f>IF(G158&lt;&gt;"",YEAR(G158),"")</f>
        <v/>
      </c>
    </row>
    <row r="159" ht="21.75" customHeight="1" s="85">
      <c r="A159" s="112">
        <f>IF(B159&lt;&gt;"",ROW()-2,"")</f>
        <v/>
      </c>
      <c r="B159" s="113" t="n"/>
      <c r="C159" s="113" t="n"/>
      <c r="D159" s="113" t="n"/>
      <c r="E159" s="113" t="n"/>
      <c r="F159" s="113" t="n"/>
      <c r="G159" s="114" t="n"/>
      <c r="H159" s="115" t="n"/>
      <c r="I159" s="116">
        <f>IF(AND(G159&lt;&gt;"",H159="En cours"),TODAY()-G159,IF(AND(G159&lt;&gt;"",H159="Cloture"),TODAY()-G159,""))</f>
        <v/>
      </c>
      <c r="J159" s="113" t="n"/>
      <c r="K159" s="113" t="n"/>
      <c r="L159" s="113" t="n"/>
      <c r="M159" s="117" t="n"/>
      <c r="N159" s="115" t="n"/>
      <c r="O159" s="118">
        <f>IF(G159&lt;&gt;"",TEXT(G159,"MMMM YYYY"),"")</f>
        <v/>
      </c>
      <c r="P159" s="118">
        <f>IF(G159&lt;&gt;"",YEAR(G159),"")</f>
        <v/>
      </c>
    </row>
    <row r="160" ht="21.75" customHeight="1" s="85">
      <c r="A160" s="119">
        <f>IF(B160&lt;&gt;"",ROW()-2,"")</f>
        <v/>
      </c>
      <c r="B160" s="120" t="n"/>
      <c r="C160" s="120" t="n"/>
      <c r="D160" s="120" t="n"/>
      <c r="E160" s="120" t="n"/>
      <c r="F160" s="120" t="n"/>
      <c r="G160" s="121" t="n"/>
      <c r="H160" s="122" t="n"/>
      <c r="I160" s="116">
        <f>IF(AND(G160&lt;&gt;"",H160="En cours"),TODAY()-G160,IF(AND(G160&lt;&gt;"",H160="Cloture"),TODAY()-G160,""))</f>
        <v/>
      </c>
      <c r="J160" s="120" t="n"/>
      <c r="K160" s="120" t="n"/>
      <c r="L160" s="120" t="n"/>
      <c r="M160" s="123" t="n"/>
      <c r="N160" s="122" t="n"/>
      <c r="O160" s="118">
        <f>IF(G160&lt;&gt;"",TEXT(G160,"MMMM YYYY"),"")</f>
        <v/>
      </c>
      <c r="P160" s="118">
        <f>IF(G160&lt;&gt;"",YEAR(G160),"")</f>
        <v/>
      </c>
    </row>
    <row r="161" ht="21.75" customHeight="1" s="85">
      <c r="A161" s="112">
        <f>IF(B161&lt;&gt;"",ROW()-2,"")</f>
        <v/>
      </c>
      <c r="B161" s="113" t="n"/>
      <c r="C161" s="113" t="n"/>
      <c r="D161" s="113" t="n"/>
      <c r="E161" s="113" t="n"/>
      <c r="F161" s="113" t="n"/>
      <c r="G161" s="114" t="n"/>
      <c r="H161" s="115" t="n"/>
      <c r="I161" s="116">
        <f>IF(AND(G161&lt;&gt;"",H161="En cours"),TODAY()-G161,IF(AND(G161&lt;&gt;"",H161="Cloture"),TODAY()-G161,""))</f>
        <v/>
      </c>
      <c r="J161" s="113" t="n"/>
      <c r="K161" s="113" t="n"/>
      <c r="L161" s="113" t="n"/>
      <c r="M161" s="117" t="n"/>
      <c r="N161" s="115" t="n"/>
      <c r="O161" s="118">
        <f>IF(G161&lt;&gt;"",TEXT(G161,"MMMM YYYY"),"")</f>
        <v/>
      </c>
      <c r="P161" s="118">
        <f>IF(G161&lt;&gt;"",YEAR(G161),"")</f>
        <v/>
      </c>
    </row>
    <row r="162" ht="21.75" customHeight="1" s="85">
      <c r="A162" s="119">
        <f>IF(B162&lt;&gt;"",ROW()-2,"")</f>
        <v/>
      </c>
      <c r="B162" s="120" t="n"/>
      <c r="C162" s="120" t="n"/>
      <c r="D162" s="120" t="n"/>
      <c r="E162" s="120" t="n"/>
      <c r="F162" s="120" t="n"/>
      <c r="G162" s="121" t="n"/>
      <c r="H162" s="122" t="n"/>
      <c r="I162" s="116">
        <f>IF(AND(G162&lt;&gt;"",H162="En cours"),TODAY()-G162,IF(AND(G162&lt;&gt;"",H162="Cloture"),TODAY()-G162,""))</f>
        <v/>
      </c>
      <c r="J162" s="120" t="n"/>
      <c r="K162" s="120" t="n"/>
      <c r="L162" s="120" t="n"/>
      <c r="M162" s="123" t="n"/>
      <c r="N162" s="122" t="n"/>
      <c r="O162" s="118">
        <f>IF(G162&lt;&gt;"",TEXT(G162,"MMMM YYYY"),"")</f>
        <v/>
      </c>
      <c r="P162" s="118">
        <f>IF(G162&lt;&gt;"",YEAR(G162),"")</f>
        <v/>
      </c>
    </row>
    <row r="163" ht="21.75" customHeight="1" s="85">
      <c r="A163" s="112">
        <f>IF(B163&lt;&gt;"",ROW()-2,"")</f>
        <v/>
      </c>
      <c r="B163" s="113" t="n"/>
      <c r="C163" s="113" t="n"/>
      <c r="D163" s="113" t="n"/>
      <c r="E163" s="113" t="n"/>
      <c r="F163" s="113" t="n"/>
      <c r="G163" s="114" t="n"/>
      <c r="H163" s="115" t="n"/>
      <c r="I163" s="116">
        <f>IF(AND(G163&lt;&gt;"",H163="En cours"),TODAY()-G163,IF(AND(G163&lt;&gt;"",H163="Cloture"),TODAY()-G163,""))</f>
        <v/>
      </c>
      <c r="J163" s="113" t="n"/>
      <c r="K163" s="113" t="n"/>
      <c r="L163" s="113" t="n"/>
      <c r="M163" s="117" t="n"/>
      <c r="N163" s="115" t="n"/>
      <c r="O163" s="118">
        <f>IF(G163&lt;&gt;"",TEXT(G163,"MMMM YYYY"),"")</f>
        <v/>
      </c>
      <c r="P163" s="118">
        <f>IF(G163&lt;&gt;"",YEAR(G163),"")</f>
        <v/>
      </c>
    </row>
    <row r="164" ht="21.75" customHeight="1" s="85">
      <c r="A164" s="119">
        <f>IF(B164&lt;&gt;"",ROW()-2,"")</f>
        <v/>
      </c>
      <c r="B164" s="120" t="n"/>
      <c r="C164" s="120" t="n"/>
      <c r="D164" s="120" t="n"/>
      <c r="E164" s="120" t="n"/>
      <c r="F164" s="120" t="n"/>
      <c r="G164" s="121" t="n"/>
      <c r="H164" s="122" t="n"/>
      <c r="I164" s="116">
        <f>IF(AND(G164&lt;&gt;"",H164="En cours"),TODAY()-G164,IF(AND(G164&lt;&gt;"",H164="Cloture"),TODAY()-G164,""))</f>
        <v/>
      </c>
      <c r="J164" s="120" t="n"/>
      <c r="K164" s="120" t="n"/>
      <c r="L164" s="120" t="n"/>
      <c r="M164" s="123" t="n"/>
      <c r="N164" s="122" t="n"/>
      <c r="O164" s="118">
        <f>IF(G164&lt;&gt;"",TEXT(G164,"MMMM YYYY"),"")</f>
        <v/>
      </c>
      <c r="P164" s="118">
        <f>IF(G164&lt;&gt;"",YEAR(G164),"")</f>
        <v/>
      </c>
    </row>
    <row r="165" ht="21.75" customHeight="1" s="85">
      <c r="A165" s="112">
        <f>IF(B165&lt;&gt;"",ROW()-2,"")</f>
        <v/>
      </c>
      <c r="B165" s="113" t="n"/>
      <c r="C165" s="113" t="n"/>
      <c r="D165" s="113" t="n"/>
      <c r="E165" s="113" t="n"/>
      <c r="F165" s="113" t="n"/>
      <c r="G165" s="114" t="n"/>
      <c r="H165" s="115" t="n"/>
      <c r="I165" s="116">
        <f>IF(AND(G165&lt;&gt;"",H165="En cours"),TODAY()-G165,IF(AND(G165&lt;&gt;"",H165="Cloture"),TODAY()-G165,""))</f>
        <v/>
      </c>
      <c r="J165" s="113" t="n"/>
      <c r="K165" s="113" t="n"/>
      <c r="L165" s="113" t="n"/>
      <c r="M165" s="117" t="n"/>
      <c r="N165" s="115" t="n"/>
      <c r="O165" s="118">
        <f>IF(G165&lt;&gt;"",TEXT(G165,"MMMM YYYY"),"")</f>
        <v/>
      </c>
      <c r="P165" s="118">
        <f>IF(G165&lt;&gt;"",YEAR(G165),"")</f>
        <v/>
      </c>
    </row>
    <row r="166" ht="21.75" customHeight="1" s="85">
      <c r="A166" s="119">
        <f>IF(B166&lt;&gt;"",ROW()-2,"")</f>
        <v/>
      </c>
      <c r="B166" s="120" t="n"/>
      <c r="C166" s="120" t="n"/>
      <c r="D166" s="120" t="n"/>
      <c r="E166" s="120" t="n"/>
      <c r="F166" s="120" t="n"/>
      <c r="G166" s="121" t="n"/>
      <c r="H166" s="122" t="n"/>
      <c r="I166" s="116">
        <f>IF(AND(G166&lt;&gt;"",H166="En cours"),TODAY()-G166,IF(AND(G166&lt;&gt;"",H166="Cloture"),TODAY()-G166,""))</f>
        <v/>
      </c>
      <c r="J166" s="120" t="n"/>
      <c r="K166" s="120" t="n"/>
      <c r="L166" s="120" t="n"/>
      <c r="M166" s="123" t="n"/>
      <c r="N166" s="122" t="n"/>
      <c r="O166" s="118">
        <f>IF(G166&lt;&gt;"",TEXT(G166,"MMMM YYYY"),"")</f>
        <v/>
      </c>
      <c r="P166" s="118">
        <f>IF(G166&lt;&gt;"",YEAR(G166),"")</f>
        <v/>
      </c>
    </row>
    <row r="167" ht="21.75" customHeight="1" s="85">
      <c r="A167" s="112">
        <f>IF(B167&lt;&gt;"",ROW()-2,"")</f>
        <v/>
      </c>
      <c r="B167" s="113" t="n"/>
      <c r="C167" s="113" t="n"/>
      <c r="D167" s="113" t="n"/>
      <c r="E167" s="113" t="n"/>
      <c r="F167" s="113" t="n"/>
      <c r="G167" s="114" t="n"/>
      <c r="H167" s="115" t="n"/>
      <c r="I167" s="116">
        <f>IF(AND(G167&lt;&gt;"",H167="En cours"),TODAY()-G167,IF(AND(G167&lt;&gt;"",H167="Cloture"),TODAY()-G167,""))</f>
        <v/>
      </c>
      <c r="J167" s="113" t="n"/>
      <c r="K167" s="113" t="n"/>
      <c r="L167" s="113" t="n"/>
      <c r="M167" s="117" t="n"/>
      <c r="N167" s="115" t="n"/>
      <c r="O167" s="118">
        <f>IF(G167&lt;&gt;"",TEXT(G167,"MMMM YYYY"),"")</f>
        <v/>
      </c>
      <c r="P167" s="118">
        <f>IF(G167&lt;&gt;"",YEAR(G167),"")</f>
        <v/>
      </c>
    </row>
    <row r="168" ht="21.75" customHeight="1" s="85">
      <c r="A168" s="119">
        <f>IF(B168&lt;&gt;"",ROW()-2,"")</f>
        <v/>
      </c>
      <c r="B168" s="120" t="n"/>
      <c r="C168" s="120" t="n"/>
      <c r="D168" s="120" t="n"/>
      <c r="E168" s="120" t="n"/>
      <c r="F168" s="120" t="n"/>
      <c r="G168" s="121" t="n"/>
      <c r="H168" s="122" t="n"/>
      <c r="I168" s="116">
        <f>IF(AND(G168&lt;&gt;"",H168="En cours"),TODAY()-G168,IF(AND(G168&lt;&gt;"",H168="Cloture"),TODAY()-G168,""))</f>
        <v/>
      </c>
      <c r="J168" s="120" t="n"/>
      <c r="K168" s="120" t="n"/>
      <c r="L168" s="120" t="n"/>
      <c r="M168" s="123" t="n"/>
      <c r="N168" s="122" t="n"/>
      <c r="O168" s="118">
        <f>IF(G168&lt;&gt;"",TEXT(G168,"MMMM YYYY"),"")</f>
        <v/>
      </c>
      <c r="P168" s="118">
        <f>IF(G168&lt;&gt;"",YEAR(G168),"")</f>
        <v/>
      </c>
    </row>
    <row r="169" ht="21.75" customHeight="1" s="85">
      <c r="A169" s="112">
        <f>IF(B169&lt;&gt;"",ROW()-2,"")</f>
        <v/>
      </c>
      <c r="B169" s="113" t="n"/>
      <c r="C169" s="113" t="n"/>
      <c r="D169" s="113" t="n"/>
      <c r="E169" s="113" t="n"/>
      <c r="F169" s="113" t="n"/>
      <c r="G169" s="114" t="n"/>
      <c r="H169" s="115" t="n"/>
      <c r="I169" s="116">
        <f>IF(AND(G169&lt;&gt;"",H169="En cours"),TODAY()-G169,IF(AND(G169&lt;&gt;"",H169="Cloture"),TODAY()-G169,""))</f>
        <v/>
      </c>
      <c r="J169" s="113" t="n"/>
      <c r="K169" s="113" t="n"/>
      <c r="L169" s="113" t="n"/>
      <c r="M169" s="117" t="n"/>
      <c r="N169" s="115" t="n"/>
      <c r="O169" s="118">
        <f>IF(G169&lt;&gt;"",TEXT(G169,"MMMM YYYY"),"")</f>
        <v/>
      </c>
      <c r="P169" s="118">
        <f>IF(G169&lt;&gt;"",YEAR(G169),"")</f>
        <v/>
      </c>
    </row>
    <row r="170" ht="21.75" customHeight="1" s="85">
      <c r="A170" s="119">
        <f>IF(B170&lt;&gt;"",ROW()-2,"")</f>
        <v/>
      </c>
      <c r="B170" s="120" t="n"/>
      <c r="C170" s="120" t="n"/>
      <c r="D170" s="120" t="n"/>
      <c r="E170" s="120" t="n"/>
      <c r="F170" s="120" t="n"/>
      <c r="G170" s="121" t="n"/>
      <c r="H170" s="122" t="n"/>
      <c r="I170" s="116">
        <f>IF(AND(G170&lt;&gt;"",H170="En cours"),TODAY()-G170,IF(AND(G170&lt;&gt;"",H170="Cloture"),TODAY()-G170,""))</f>
        <v/>
      </c>
      <c r="J170" s="120" t="n"/>
      <c r="K170" s="120" t="n"/>
      <c r="L170" s="120" t="n"/>
      <c r="M170" s="123" t="n"/>
      <c r="N170" s="122" t="n"/>
      <c r="O170" s="118">
        <f>IF(G170&lt;&gt;"",TEXT(G170,"MMMM YYYY"),"")</f>
        <v/>
      </c>
      <c r="P170" s="118">
        <f>IF(G170&lt;&gt;"",YEAR(G170),"")</f>
        <v/>
      </c>
    </row>
    <row r="171" ht="21.75" customHeight="1" s="85">
      <c r="A171" s="112">
        <f>IF(B171&lt;&gt;"",ROW()-2,"")</f>
        <v/>
      </c>
      <c r="B171" s="113" t="n"/>
      <c r="C171" s="113" t="n"/>
      <c r="D171" s="113" t="n"/>
      <c r="E171" s="113" t="n"/>
      <c r="F171" s="113" t="n"/>
      <c r="G171" s="114" t="n"/>
      <c r="H171" s="115" t="n"/>
      <c r="I171" s="116">
        <f>IF(AND(G171&lt;&gt;"",H171="En cours"),TODAY()-G171,IF(AND(G171&lt;&gt;"",H171="Cloture"),TODAY()-G171,""))</f>
        <v/>
      </c>
      <c r="J171" s="113" t="n"/>
      <c r="K171" s="113" t="n"/>
      <c r="L171" s="113" t="n"/>
      <c r="M171" s="117" t="n"/>
      <c r="N171" s="115" t="n"/>
      <c r="O171" s="118">
        <f>IF(G171&lt;&gt;"",TEXT(G171,"MMMM YYYY"),"")</f>
        <v/>
      </c>
      <c r="P171" s="118">
        <f>IF(G171&lt;&gt;"",YEAR(G171),"")</f>
        <v/>
      </c>
    </row>
    <row r="172" ht="21.75" customHeight="1" s="85">
      <c r="A172" s="119">
        <f>IF(B172&lt;&gt;"",ROW()-2,"")</f>
        <v/>
      </c>
      <c r="B172" s="120" t="n"/>
      <c r="C172" s="120" t="n"/>
      <c r="D172" s="120" t="n"/>
      <c r="E172" s="120" t="n"/>
      <c r="F172" s="120" t="n"/>
      <c r="G172" s="121" t="n"/>
      <c r="H172" s="122" t="n"/>
      <c r="I172" s="116">
        <f>IF(AND(G172&lt;&gt;"",H172="En cours"),TODAY()-G172,IF(AND(G172&lt;&gt;"",H172="Cloture"),TODAY()-G172,""))</f>
        <v/>
      </c>
      <c r="J172" s="120" t="n"/>
      <c r="K172" s="120" t="n"/>
      <c r="L172" s="120" t="n"/>
      <c r="M172" s="123" t="n"/>
      <c r="N172" s="122" t="n"/>
      <c r="O172" s="118">
        <f>IF(G172&lt;&gt;"",TEXT(G172,"MMMM YYYY"),"")</f>
        <v/>
      </c>
      <c r="P172" s="118">
        <f>IF(G172&lt;&gt;"",YEAR(G172),"")</f>
        <v/>
      </c>
    </row>
    <row r="173" ht="21.75" customHeight="1" s="85">
      <c r="A173" s="112">
        <f>IF(B173&lt;&gt;"",ROW()-2,"")</f>
        <v/>
      </c>
      <c r="B173" s="113" t="n"/>
      <c r="C173" s="113" t="n"/>
      <c r="D173" s="113" t="n"/>
      <c r="E173" s="113" t="n"/>
      <c r="F173" s="113" t="n"/>
      <c r="G173" s="114" t="n"/>
      <c r="H173" s="115" t="n"/>
      <c r="I173" s="116">
        <f>IF(AND(G173&lt;&gt;"",H173="En cours"),TODAY()-G173,IF(AND(G173&lt;&gt;"",H173="Cloture"),TODAY()-G173,""))</f>
        <v/>
      </c>
      <c r="J173" s="113" t="n"/>
      <c r="K173" s="113" t="n"/>
      <c r="L173" s="113" t="n"/>
      <c r="M173" s="117" t="n"/>
      <c r="N173" s="115" t="n"/>
      <c r="O173" s="118">
        <f>IF(G173&lt;&gt;"",TEXT(G173,"MMMM YYYY"),"")</f>
        <v/>
      </c>
      <c r="P173" s="118">
        <f>IF(G173&lt;&gt;"",YEAR(G173),"")</f>
        <v/>
      </c>
    </row>
    <row r="174" ht="21.75" customHeight="1" s="85">
      <c r="A174" s="119">
        <f>IF(B174&lt;&gt;"",ROW()-2,"")</f>
        <v/>
      </c>
      <c r="B174" s="120" t="n"/>
      <c r="C174" s="120" t="n"/>
      <c r="D174" s="120" t="n"/>
      <c r="E174" s="120" t="n"/>
      <c r="F174" s="120" t="n"/>
      <c r="G174" s="121" t="n"/>
      <c r="H174" s="122" t="n"/>
      <c r="I174" s="116">
        <f>IF(AND(G174&lt;&gt;"",H174="En cours"),TODAY()-G174,IF(AND(G174&lt;&gt;"",H174="Cloture"),TODAY()-G174,""))</f>
        <v/>
      </c>
      <c r="J174" s="120" t="n"/>
      <c r="K174" s="120" t="n"/>
      <c r="L174" s="120" t="n"/>
      <c r="M174" s="123" t="n"/>
      <c r="N174" s="122" t="n"/>
      <c r="O174" s="118">
        <f>IF(G174&lt;&gt;"",TEXT(G174,"MMMM YYYY"),"")</f>
        <v/>
      </c>
      <c r="P174" s="118">
        <f>IF(G174&lt;&gt;"",YEAR(G174),"")</f>
        <v/>
      </c>
    </row>
    <row r="175" ht="21.75" customHeight="1" s="85">
      <c r="A175" s="112">
        <f>IF(B175&lt;&gt;"",ROW()-2,"")</f>
        <v/>
      </c>
      <c r="B175" s="113" t="n"/>
      <c r="C175" s="113" t="n"/>
      <c r="D175" s="113" t="n"/>
      <c r="E175" s="113" t="n"/>
      <c r="F175" s="113" t="n"/>
      <c r="G175" s="114" t="n"/>
      <c r="H175" s="115" t="n"/>
      <c r="I175" s="116">
        <f>IF(AND(G175&lt;&gt;"",H175="En cours"),TODAY()-G175,IF(AND(G175&lt;&gt;"",H175="Cloture"),TODAY()-G175,""))</f>
        <v/>
      </c>
      <c r="J175" s="113" t="n"/>
      <c r="K175" s="113" t="n"/>
      <c r="L175" s="113" t="n"/>
      <c r="M175" s="117" t="n"/>
      <c r="N175" s="115" t="n"/>
      <c r="O175" s="118">
        <f>IF(G175&lt;&gt;"",TEXT(G175,"MMMM YYYY"),"")</f>
        <v/>
      </c>
      <c r="P175" s="118">
        <f>IF(G175&lt;&gt;"",YEAR(G175),"")</f>
        <v/>
      </c>
    </row>
    <row r="176" ht="21.75" customHeight="1" s="85">
      <c r="A176" s="119">
        <f>IF(B176&lt;&gt;"",ROW()-2,"")</f>
        <v/>
      </c>
      <c r="B176" s="120" t="n"/>
      <c r="C176" s="120" t="n"/>
      <c r="D176" s="120" t="n"/>
      <c r="E176" s="120" t="n"/>
      <c r="F176" s="120" t="n"/>
      <c r="G176" s="121" t="n"/>
      <c r="H176" s="122" t="n"/>
      <c r="I176" s="116">
        <f>IF(AND(G176&lt;&gt;"",H176="En cours"),TODAY()-G176,IF(AND(G176&lt;&gt;"",H176="Cloture"),TODAY()-G176,""))</f>
        <v/>
      </c>
      <c r="J176" s="120" t="n"/>
      <c r="K176" s="120" t="n"/>
      <c r="L176" s="120" t="n"/>
      <c r="M176" s="123" t="n"/>
      <c r="N176" s="122" t="n"/>
      <c r="O176" s="118">
        <f>IF(G176&lt;&gt;"",TEXT(G176,"MMMM YYYY"),"")</f>
        <v/>
      </c>
      <c r="P176" s="118">
        <f>IF(G176&lt;&gt;"",YEAR(G176),"")</f>
        <v/>
      </c>
    </row>
    <row r="177" ht="21.75" customHeight="1" s="85">
      <c r="A177" s="112">
        <f>IF(B177&lt;&gt;"",ROW()-2,"")</f>
        <v/>
      </c>
      <c r="B177" s="113" t="n"/>
      <c r="C177" s="113" t="n"/>
      <c r="D177" s="113" t="n"/>
      <c r="E177" s="113" t="n"/>
      <c r="F177" s="113" t="n"/>
      <c r="G177" s="114" t="n"/>
      <c r="H177" s="115" t="n"/>
      <c r="I177" s="116">
        <f>IF(AND(G177&lt;&gt;"",H177="En cours"),TODAY()-G177,IF(AND(G177&lt;&gt;"",H177="Cloture"),TODAY()-G177,""))</f>
        <v/>
      </c>
      <c r="J177" s="113" t="n"/>
      <c r="K177" s="113" t="n"/>
      <c r="L177" s="113" t="n"/>
      <c r="M177" s="117" t="n"/>
      <c r="N177" s="115" t="n"/>
      <c r="O177" s="118">
        <f>IF(G177&lt;&gt;"",TEXT(G177,"MMMM YYYY"),"")</f>
        <v/>
      </c>
      <c r="P177" s="118">
        <f>IF(G177&lt;&gt;"",YEAR(G177),"")</f>
        <v/>
      </c>
    </row>
    <row r="178" ht="21.75" customHeight="1" s="85">
      <c r="A178" s="119">
        <f>IF(B178&lt;&gt;"",ROW()-2,"")</f>
        <v/>
      </c>
      <c r="B178" s="120" t="n"/>
      <c r="C178" s="120" t="n"/>
      <c r="D178" s="120" t="n"/>
      <c r="E178" s="120" t="n"/>
      <c r="F178" s="120" t="n"/>
      <c r="G178" s="121" t="n"/>
      <c r="H178" s="122" t="n"/>
      <c r="I178" s="116">
        <f>IF(AND(G178&lt;&gt;"",H178="En cours"),TODAY()-G178,IF(AND(G178&lt;&gt;"",H178="Cloture"),TODAY()-G178,""))</f>
        <v/>
      </c>
      <c r="J178" s="120" t="n"/>
      <c r="K178" s="120" t="n"/>
      <c r="L178" s="120" t="n"/>
      <c r="M178" s="123" t="n"/>
      <c r="N178" s="122" t="n"/>
      <c r="O178" s="118">
        <f>IF(G178&lt;&gt;"",TEXT(G178,"MMMM YYYY"),"")</f>
        <v/>
      </c>
      <c r="P178" s="118">
        <f>IF(G178&lt;&gt;"",YEAR(G178),"")</f>
        <v/>
      </c>
    </row>
    <row r="179" ht="21.75" customHeight="1" s="85">
      <c r="A179" s="112">
        <f>IF(B179&lt;&gt;"",ROW()-2,"")</f>
        <v/>
      </c>
      <c r="B179" s="113" t="n"/>
      <c r="C179" s="113" t="n"/>
      <c r="D179" s="113" t="n"/>
      <c r="E179" s="113" t="n"/>
      <c r="F179" s="113" t="n"/>
      <c r="G179" s="114" t="n"/>
      <c r="H179" s="115" t="n"/>
      <c r="I179" s="116">
        <f>IF(AND(G179&lt;&gt;"",H179="En cours"),TODAY()-G179,IF(AND(G179&lt;&gt;"",H179="Cloture"),TODAY()-G179,""))</f>
        <v/>
      </c>
      <c r="J179" s="113" t="n"/>
      <c r="K179" s="113" t="n"/>
      <c r="L179" s="113" t="n"/>
      <c r="M179" s="117" t="n"/>
      <c r="N179" s="115" t="n"/>
      <c r="O179" s="118">
        <f>IF(G179&lt;&gt;"",TEXT(G179,"MMMM YYYY"),"")</f>
        <v/>
      </c>
      <c r="P179" s="118">
        <f>IF(G179&lt;&gt;"",YEAR(G179),"")</f>
        <v/>
      </c>
    </row>
    <row r="180" ht="21.75" customHeight="1" s="85">
      <c r="A180" s="119">
        <f>IF(B180&lt;&gt;"",ROW()-2,"")</f>
        <v/>
      </c>
      <c r="B180" s="120" t="n"/>
      <c r="C180" s="120" t="n"/>
      <c r="D180" s="120" t="n"/>
      <c r="E180" s="120" t="n"/>
      <c r="F180" s="120" t="n"/>
      <c r="G180" s="121" t="n"/>
      <c r="H180" s="122" t="n"/>
      <c r="I180" s="116">
        <f>IF(AND(G180&lt;&gt;"",H180="En cours"),TODAY()-G180,IF(AND(G180&lt;&gt;"",H180="Cloture"),TODAY()-G180,""))</f>
        <v/>
      </c>
      <c r="J180" s="120" t="n"/>
      <c r="K180" s="120" t="n"/>
      <c r="L180" s="120" t="n"/>
      <c r="M180" s="123" t="n"/>
      <c r="N180" s="122" t="n"/>
      <c r="O180" s="118">
        <f>IF(G180&lt;&gt;"",TEXT(G180,"MMMM YYYY"),"")</f>
        <v/>
      </c>
      <c r="P180" s="118">
        <f>IF(G180&lt;&gt;"",YEAR(G180),"")</f>
        <v/>
      </c>
    </row>
    <row r="181" ht="21.75" customHeight="1" s="85">
      <c r="A181" s="112">
        <f>IF(B181&lt;&gt;"",ROW()-2,"")</f>
        <v/>
      </c>
      <c r="B181" s="113" t="n"/>
      <c r="C181" s="113" t="n"/>
      <c r="D181" s="113" t="n"/>
      <c r="E181" s="113" t="n"/>
      <c r="F181" s="113" t="n"/>
      <c r="G181" s="114" t="n"/>
      <c r="H181" s="115" t="n"/>
      <c r="I181" s="116">
        <f>IF(AND(G181&lt;&gt;"",H181="En cours"),TODAY()-G181,IF(AND(G181&lt;&gt;"",H181="Cloture"),TODAY()-G181,""))</f>
        <v/>
      </c>
      <c r="J181" s="113" t="n"/>
      <c r="K181" s="113" t="n"/>
      <c r="L181" s="113" t="n"/>
      <c r="M181" s="117" t="n"/>
      <c r="N181" s="115" t="n"/>
      <c r="O181" s="118">
        <f>IF(G181&lt;&gt;"",TEXT(G181,"MMMM YYYY"),"")</f>
        <v/>
      </c>
      <c r="P181" s="118">
        <f>IF(G181&lt;&gt;"",YEAR(G181),"")</f>
        <v/>
      </c>
    </row>
    <row r="182" ht="21.75" customHeight="1" s="85">
      <c r="A182" s="119">
        <f>IF(B182&lt;&gt;"",ROW()-2,"")</f>
        <v/>
      </c>
      <c r="B182" s="120" t="n"/>
      <c r="C182" s="120" t="n"/>
      <c r="D182" s="120" t="n"/>
      <c r="E182" s="120" t="n"/>
      <c r="F182" s="120" t="n"/>
      <c r="G182" s="121" t="n"/>
      <c r="H182" s="122" t="n"/>
      <c r="I182" s="116">
        <f>IF(AND(G182&lt;&gt;"",H182="En cours"),TODAY()-G182,IF(AND(G182&lt;&gt;"",H182="Cloture"),TODAY()-G182,""))</f>
        <v/>
      </c>
      <c r="J182" s="120" t="n"/>
      <c r="K182" s="120" t="n"/>
      <c r="L182" s="120" t="n"/>
      <c r="M182" s="123" t="n"/>
      <c r="N182" s="122" t="n"/>
      <c r="O182" s="118">
        <f>IF(G182&lt;&gt;"",TEXT(G182,"MMMM YYYY"),"")</f>
        <v/>
      </c>
      <c r="P182" s="118">
        <f>IF(G182&lt;&gt;"",YEAR(G182),"")</f>
        <v/>
      </c>
    </row>
    <row r="183" ht="21.75" customHeight="1" s="85">
      <c r="A183" s="112">
        <f>IF(B183&lt;&gt;"",ROW()-2,"")</f>
        <v/>
      </c>
      <c r="B183" s="113" t="n"/>
      <c r="C183" s="113" t="n"/>
      <c r="D183" s="113" t="n"/>
      <c r="E183" s="113" t="n"/>
      <c r="F183" s="113" t="n"/>
      <c r="G183" s="114" t="n"/>
      <c r="H183" s="115" t="n"/>
      <c r="I183" s="116">
        <f>IF(AND(G183&lt;&gt;"",H183="En cours"),TODAY()-G183,IF(AND(G183&lt;&gt;"",H183="Cloture"),TODAY()-G183,""))</f>
        <v/>
      </c>
      <c r="J183" s="113" t="n"/>
      <c r="K183" s="113" t="n"/>
      <c r="L183" s="113" t="n"/>
      <c r="M183" s="117" t="n"/>
      <c r="N183" s="115" t="n"/>
      <c r="O183" s="118">
        <f>IF(G183&lt;&gt;"",TEXT(G183,"MMMM YYYY"),"")</f>
        <v/>
      </c>
      <c r="P183" s="118">
        <f>IF(G183&lt;&gt;"",YEAR(G183),"")</f>
        <v/>
      </c>
    </row>
    <row r="184" ht="21.75" customHeight="1" s="85">
      <c r="A184" s="119">
        <f>IF(B184&lt;&gt;"",ROW()-2,"")</f>
        <v/>
      </c>
      <c r="B184" s="120" t="n"/>
      <c r="C184" s="120" t="n"/>
      <c r="D184" s="120" t="n"/>
      <c r="E184" s="120" t="n"/>
      <c r="F184" s="120" t="n"/>
      <c r="G184" s="121" t="n"/>
      <c r="H184" s="122" t="n"/>
      <c r="I184" s="116">
        <f>IF(AND(G184&lt;&gt;"",H184="En cours"),TODAY()-G184,IF(AND(G184&lt;&gt;"",H184="Cloture"),TODAY()-G184,""))</f>
        <v/>
      </c>
      <c r="J184" s="120" t="n"/>
      <c r="K184" s="120" t="n"/>
      <c r="L184" s="120" t="n"/>
      <c r="M184" s="123" t="n"/>
      <c r="N184" s="122" t="n"/>
      <c r="O184" s="118">
        <f>IF(G184&lt;&gt;"",TEXT(G184,"MMMM YYYY"),"")</f>
        <v/>
      </c>
      <c r="P184" s="118">
        <f>IF(G184&lt;&gt;"",YEAR(G184),"")</f>
        <v/>
      </c>
    </row>
    <row r="185" ht="21.75" customHeight="1" s="85">
      <c r="A185" s="112">
        <f>IF(B185&lt;&gt;"",ROW()-2,"")</f>
        <v/>
      </c>
      <c r="B185" s="113" t="n"/>
      <c r="C185" s="113" t="n"/>
      <c r="D185" s="113" t="n"/>
      <c r="E185" s="113" t="n"/>
      <c r="F185" s="113" t="n"/>
      <c r="G185" s="114" t="n"/>
      <c r="H185" s="115" t="n"/>
      <c r="I185" s="116">
        <f>IF(AND(G185&lt;&gt;"",H185="En cours"),TODAY()-G185,IF(AND(G185&lt;&gt;"",H185="Cloture"),TODAY()-G185,""))</f>
        <v/>
      </c>
      <c r="J185" s="113" t="n"/>
      <c r="K185" s="113" t="n"/>
      <c r="L185" s="113" t="n"/>
      <c r="M185" s="117" t="n"/>
      <c r="N185" s="115" t="n"/>
      <c r="O185" s="118">
        <f>IF(G185&lt;&gt;"",TEXT(G185,"MMMM YYYY"),"")</f>
        <v/>
      </c>
      <c r="P185" s="118">
        <f>IF(G185&lt;&gt;"",YEAR(G185),"")</f>
        <v/>
      </c>
    </row>
    <row r="186" ht="21.75" customHeight="1" s="85">
      <c r="A186" s="119">
        <f>IF(B186&lt;&gt;"",ROW()-2,"")</f>
        <v/>
      </c>
      <c r="B186" s="120" t="n"/>
      <c r="C186" s="120" t="n"/>
      <c r="D186" s="120" t="n"/>
      <c r="E186" s="120" t="n"/>
      <c r="F186" s="120" t="n"/>
      <c r="G186" s="121" t="n"/>
      <c r="H186" s="122" t="n"/>
      <c r="I186" s="116">
        <f>IF(AND(G186&lt;&gt;"",H186="En cours"),TODAY()-G186,IF(AND(G186&lt;&gt;"",H186="Cloture"),TODAY()-G186,""))</f>
        <v/>
      </c>
      <c r="J186" s="120" t="n"/>
      <c r="K186" s="120" t="n"/>
      <c r="L186" s="120" t="n"/>
      <c r="M186" s="123" t="n"/>
      <c r="N186" s="122" t="n"/>
      <c r="O186" s="118">
        <f>IF(G186&lt;&gt;"",TEXT(G186,"MMMM YYYY"),"")</f>
        <v/>
      </c>
      <c r="P186" s="118">
        <f>IF(G186&lt;&gt;"",YEAR(G186),"")</f>
        <v/>
      </c>
    </row>
    <row r="187" ht="21.75" customHeight="1" s="85">
      <c r="A187" s="112">
        <f>IF(B187&lt;&gt;"",ROW()-2,"")</f>
        <v/>
      </c>
      <c r="B187" s="113" t="n"/>
      <c r="C187" s="113" t="n"/>
      <c r="D187" s="113" t="n"/>
      <c r="E187" s="113" t="n"/>
      <c r="F187" s="113" t="n"/>
      <c r="G187" s="114" t="n"/>
      <c r="H187" s="115" t="n"/>
      <c r="I187" s="116">
        <f>IF(AND(G187&lt;&gt;"",H187="En cours"),TODAY()-G187,IF(AND(G187&lt;&gt;"",H187="Cloture"),TODAY()-G187,""))</f>
        <v/>
      </c>
      <c r="J187" s="113" t="n"/>
      <c r="K187" s="113" t="n"/>
      <c r="L187" s="113" t="n"/>
      <c r="M187" s="117" t="n"/>
      <c r="N187" s="115" t="n"/>
      <c r="O187" s="118">
        <f>IF(G187&lt;&gt;"",TEXT(G187,"MMMM YYYY"),"")</f>
        <v/>
      </c>
      <c r="P187" s="118">
        <f>IF(G187&lt;&gt;"",YEAR(G187),"")</f>
        <v/>
      </c>
    </row>
    <row r="188" ht="21.75" customHeight="1" s="85">
      <c r="A188" s="119">
        <f>IF(B188&lt;&gt;"",ROW()-2,"")</f>
        <v/>
      </c>
      <c r="B188" s="120" t="n"/>
      <c r="C188" s="120" t="n"/>
      <c r="D188" s="120" t="n"/>
      <c r="E188" s="120" t="n"/>
      <c r="F188" s="120" t="n"/>
      <c r="G188" s="121" t="n"/>
      <c r="H188" s="122" t="n"/>
      <c r="I188" s="116">
        <f>IF(AND(G188&lt;&gt;"",H188="En cours"),TODAY()-G188,IF(AND(G188&lt;&gt;"",H188="Cloture"),TODAY()-G188,""))</f>
        <v/>
      </c>
      <c r="J188" s="120" t="n"/>
      <c r="K188" s="120" t="n"/>
      <c r="L188" s="120" t="n"/>
      <c r="M188" s="123" t="n"/>
      <c r="N188" s="122" t="n"/>
      <c r="O188" s="118">
        <f>IF(G188&lt;&gt;"",TEXT(G188,"MMMM YYYY"),"")</f>
        <v/>
      </c>
      <c r="P188" s="118">
        <f>IF(G188&lt;&gt;"",YEAR(G188),"")</f>
        <v/>
      </c>
    </row>
    <row r="189" ht="21.75" customHeight="1" s="85">
      <c r="A189" s="112">
        <f>IF(B189&lt;&gt;"",ROW()-2,"")</f>
        <v/>
      </c>
      <c r="B189" s="113" t="n"/>
      <c r="C189" s="113" t="n"/>
      <c r="D189" s="113" t="n"/>
      <c r="E189" s="113" t="n"/>
      <c r="F189" s="113" t="n"/>
      <c r="G189" s="114" t="n"/>
      <c r="H189" s="115" t="n"/>
      <c r="I189" s="116">
        <f>IF(AND(G189&lt;&gt;"",H189="En cours"),TODAY()-G189,IF(AND(G189&lt;&gt;"",H189="Cloture"),TODAY()-G189,""))</f>
        <v/>
      </c>
      <c r="J189" s="113" t="n"/>
      <c r="K189" s="113" t="n"/>
      <c r="L189" s="113" t="n"/>
      <c r="M189" s="117" t="n"/>
      <c r="N189" s="115" t="n"/>
      <c r="O189" s="118">
        <f>IF(G189&lt;&gt;"",TEXT(G189,"MMMM YYYY"),"")</f>
        <v/>
      </c>
      <c r="P189" s="118">
        <f>IF(G189&lt;&gt;"",YEAR(G189),"")</f>
        <v/>
      </c>
    </row>
    <row r="190" ht="21.75" customHeight="1" s="85">
      <c r="A190" s="119">
        <f>IF(B190&lt;&gt;"",ROW()-2,"")</f>
        <v/>
      </c>
      <c r="B190" s="120" t="n"/>
      <c r="C190" s="120" t="n"/>
      <c r="D190" s="120" t="n"/>
      <c r="E190" s="120" t="n"/>
      <c r="F190" s="120" t="n"/>
      <c r="G190" s="121" t="n"/>
      <c r="H190" s="122" t="n"/>
      <c r="I190" s="116">
        <f>IF(AND(G190&lt;&gt;"",H190="En cours"),TODAY()-G190,IF(AND(G190&lt;&gt;"",H190="Cloture"),TODAY()-G190,""))</f>
        <v/>
      </c>
      <c r="J190" s="120" t="n"/>
      <c r="K190" s="120" t="n"/>
      <c r="L190" s="120" t="n"/>
      <c r="M190" s="123" t="n"/>
      <c r="N190" s="122" t="n"/>
      <c r="O190" s="118">
        <f>IF(G190&lt;&gt;"",TEXT(G190,"MMMM YYYY"),"")</f>
        <v/>
      </c>
      <c r="P190" s="118">
        <f>IF(G190&lt;&gt;"",YEAR(G190),"")</f>
        <v/>
      </c>
    </row>
    <row r="191" ht="21.75" customHeight="1" s="85">
      <c r="A191" s="112">
        <f>IF(B191&lt;&gt;"",ROW()-2,"")</f>
        <v/>
      </c>
      <c r="B191" s="113" t="n"/>
      <c r="C191" s="113" t="n"/>
      <c r="D191" s="113" t="n"/>
      <c r="E191" s="113" t="n"/>
      <c r="F191" s="113" t="n"/>
      <c r="G191" s="114" t="n"/>
      <c r="H191" s="115" t="n"/>
      <c r="I191" s="116">
        <f>IF(AND(G191&lt;&gt;"",H191="En cours"),TODAY()-G191,IF(AND(G191&lt;&gt;"",H191="Cloture"),TODAY()-G191,""))</f>
        <v/>
      </c>
      <c r="J191" s="113" t="n"/>
      <c r="K191" s="113" t="n"/>
      <c r="L191" s="113" t="n"/>
      <c r="M191" s="117" t="n"/>
      <c r="N191" s="115" t="n"/>
      <c r="O191" s="118">
        <f>IF(G191&lt;&gt;"",TEXT(G191,"MMMM YYYY"),"")</f>
        <v/>
      </c>
      <c r="P191" s="118">
        <f>IF(G191&lt;&gt;"",YEAR(G191),"")</f>
        <v/>
      </c>
    </row>
    <row r="192" ht="21.75" customHeight="1" s="85">
      <c r="A192" s="119">
        <f>IF(B192&lt;&gt;"",ROW()-2,"")</f>
        <v/>
      </c>
      <c r="B192" s="120" t="n"/>
      <c r="C192" s="120" t="n"/>
      <c r="D192" s="120" t="n"/>
      <c r="E192" s="120" t="n"/>
      <c r="F192" s="120" t="n"/>
      <c r="G192" s="121" t="n"/>
      <c r="H192" s="122" t="n"/>
      <c r="I192" s="116">
        <f>IF(AND(G192&lt;&gt;"",H192="En cours"),TODAY()-G192,IF(AND(G192&lt;&gt;"",H192="Cloture"),TODAY()-G192,""))</f>
        <v/>
      </c>
      <c r="J192" s="120" t="n"/>
      <c r="K192" s="120" t="n"/>
      <c r="L192" s="120" t="n"/>
      <c r="M192" s="123" t="n"/>
      <c r="N192" s="122" t="n"/>
      <c r="O192" s="118">
        <f>IF(G192&lt;&gt;"",TEXT(G192,"MMMM YYYY"),"")</f>
        <v/>
      </c>
      <c r="P192" s="118">
        <f>IF(G192&lt;&gt;"",YEAR(G192),"")</f>
        <v/>
      </c>
    </row>
    <row r="193" ht="21.75" customHeight="1" s="85">
      <c r="A193" s="112">
        <f>IF(B193&lt;&gt;"",ROW()-2,"")</f>
        <v/>
      </c>
      <c r="B193" s="113" t="n"/>
      <c r="C193" s="113" t="n"/>
      <c r="D193" s="113" t="n"/>
      <c r="E193" s="113" t="n"/>
      <c r="F193" s="113" t="n"/>
      <c r="G193" s="114" t="n"/>
      <c r="H193" s="115" t="n"/>
      <c r="I193" s="116">
        <f>IF(AND(G193&lt;&gt;"",H193="En cours"),TODAY()-G193,IF(AND(G193&lt;&gt;"",H193="Cloture"),TODAY()-G193,""))</f>
        <v/>
      </c>
      <c r="J193" s="113" t="n"/>
      <c r="K193" s="113" t="n"/>
      <c r="L193" s="113" t="n"/>
      <c r="M193" s="117" t="n"/>
      <c r="N193" s="115" t="n"/>
      <c r="O193" s="118">
        <f>IF(G193&lt;&gt;"",TEXT(G193,"MMMM YYYY"),"")</f>
        <v/>
      </c>
      <c r="P193" s="118">
        <f>IF(G193&lt;&gt;"",YEAR(G193),"")</f>
        <v/>
      </c>
    </row>
    <row r="194" ht="21.75" customHeight="1" s="85">
      <c r="A194" s="119">
        <f>IF(B194&lt;&gt;"",ROW()-2,"")</f>
        <v/>
      </c>
      <c r="B194" s="120" t="n"/>
      <c r="C194" s="120" t="n"/>
      <c r="D194" s="120" t="n"/>
      <c r="E194" s="120" t="n"/>
      <c r="F194" s="120" t="n"/>
      <c r="G194" s="121" t="n"/>
      <c r="H194" s="122" t="n"/>
      <c r="I194" s="116">
        <f>IF(AND(G194&lt;&gt;"",H194="En cours"),TODAY()-G194,IF(AND(G194&lt;&gt;"",H194="Cloture"),TODAY()-G194,""))</f>
        <v/>
      </c>
      <c r="J194" s="120" t="n"/>
      <c r="K194" s="120" t="n"/>
      <c r="L194" s="120" t="n"/>
      <c r="M194" s="123" t="n"/>
      <c r="N194" s="122" t="n"/>
      <c r="O194" s="118">
        <f>IF(G194&lt;&gt;"",TEXT(G194,"MMMM YYYY"),"")</f>
        <v/>
      </c>
      <c r="P194" s="118">
        <f>IF(G194&lt;&gt;"",YEAR(G194),"")</f>
        <v/>
      </c>
    </row>
    <row r="195" ht="21.75" customHeight="1" s="85">
      <c r="A195" s="112">
        <f>IF(B195&lt;&gt;"",ROW()-2,"")</f>
        <v/>
      </c>
      <c r="B195" s="113" t="n"/>
      <c r="C195" s="113" t="n"/>
      <c r="D195" s="113" t="n"/>
      <c r="E195" s="113" t="n"/>
      <c r="F195" s="113" t="n"/>
      <c r="G195" s="114" t="n"/>
      <c r="H195" s="115" t="n"/>
      <c r="I195" s="116">
        <f>IF(AND(G195&lt;&gt;"",H195="En cours"),TODAY()-G195,IF(AND(G195&lt;&gt;"",H195="Cloture"),TODAY()-G195,""))</f>
        <v/>
      </c>
      <c r="J195" s="113" t="n"/>
      <c r="K195" s="113" t="n"/>
      <c r="L195" s="113" t="n"/>
      <c r="M195" s="117" t="n"/>
      <c r="N195" s="115" t="n"/>
      <c r="O195" s="118">
        <f>IF(G195&lt;&gt;"",TEXT(G195,"MMMM YYYY"),"")</f>
        <v/>
      </c>
      <c r="P195" s="118">
        <f>IF(G195&lt;&gt;"",YEAR(G195),"")</f>
        <v/>
      </c>
    </row>
    <row r="196" ht="21.75" customHeight="1" s="85">
      <c r="A196" s="119">
        <f>IF(B196&lt;&gt;"",ROW()-2,"")</f>
        <v/>
      </c>
      <c r="B196" s="120" t="n"/>
      <c r="C196" s="120" t="n"/>
      <c r="D196" s="120" t="n"/>
      <c r="E196" s="120" t="n"/>
      <c r="F196" s="120" t="n"/>
      <c r="G196" s="121" t="n"/>
      <c r="H196" s="122" t="n"/>
      <c r="I196" s="116">
        <f>IF(AND(G196&lt;&gt;"",H196="En cours"),TODAY()-G196,IF(AND(G196&lt;&gt;"",H196="Cloture"),TODAY()-G196,""))</f>
        <v/>
      </c>
      <c r="J196" s="120" t="n"/>
      <c r="K196" s="120" t="n"/>
      <c r="L196" s="120" t="n"/>
      <c r="M196" s="123" t="n"/>
      <c r="N196" s="122" t="n"/>
      <c r="O196" s="118">
        <f>IF(G196&lt;&gt;"",TEXT(G196,"MMMM YYYY"),"")</f>
        <v/>
      </c>
      <c r="P196" s="118">
        <f>IF(G196&lt;&gt;"",YEAR(G196),"")</f>
        <v/>
      </c>
    </row>
    <row r="197" ht="21.75" customHeight="1" s="85">
      <c r="A197" s="112">
        <f>IF(B197&lt;&gt;"",ROW()-2,"")</f>
        <v/>
      </c>
      <c r="B197" s="113" t="n"/>
      <c r="C197" s="113" t="n"/>
      <c r="D197" s="113" t="n"/>
      <c r="E197" s="113" t="n"/>
      <c r="F197" s="113" t="n"/>
      <c r="G197" s="114" t="n"/>
      <c r="H197" s="115" t="n"/>
      <c r="I197" s="116">
        <f>IF(AND(G197&lt;&gt;"",H197="En cours"),TODAY()-G197,IF(AND(G197&lt;&gt;"",H197="Cloture"),TODAY()-G197,""))</f>
        <v/>
      </c>
      <c r="J197" s="113" t="n"/>
      <c r="K197" s="113" t="n"/>
      <c r="L197" s="113" t="n"/>
      <c r="M197" s="117" t="n"/>
      <c r="N197" s="115" t="n"/>
      <c r="O197" s="118">
        <f>IF(G197&lt;&gt;"",TEXT(G197,"MMMM YYYY"),"")</f>
        <v/>
      </c>
      <c r="P197" s="118">
        <f>IF(G197&lt;&gt;"",YEAR(G197),"")</f>
        <v/>
      </c>
    </row>
    <row r="198" ht="21.75" customHeight="1" s="85">
      <c r="A198" s="119">
        <f>IF(B198&lt;&gt;"",ROW()-2,"")</f>
        <v/>
      </c>
      <c r="B198" s="120" t="n"/>
      <c r="C198" s="120" t="n"/>
      <c r="D198" s="120" t="n"/>
      <c r="E198" s="120" t="n"/>
      <c r="F198" s="120" t="n"/>
      <c r="G198" s="121" t="n"/>
      <c r="H198" s="122" t="n"/>
      <c r="I198" s="116">
        <f>IF(AND(G198&lt;&gt;"",H198="En cours"),TODAY()-G198,IF(AND(G198&lt;&gt;"",H198="Cloture"),TODAY()-G198,""))</f>
        <v/>
      </c>
      <c r="J198" s="120" t="n"/>
      <c r="K198" s="120" t="n"/>
      <c r="L198" s="120" t="n"/>
      <c r="M198" s="123" t="n"/>
      <c r="N198" s="122" t="n"/>
      <c r="O198" s="118">
        <f>IF(G198&lt;&gt;"",TEXT(G198,"MMMM YYYY"),"")</f>
        <v/>
      </c>
      <c r="P198" s="118">
        <f>IF(G198&lt;&gt;"",YEAR(G198),"")</f>
        <v/>
      </c>
    </row>
    <row r="199" ht="21.75" customHeight="1" s="85">
      <c r="A199" s="112">
        <f>IF(B199&lt;&gt;"",ROW()-2,"")</f>
        <v/>
      </c>
      <c r="B199" s="113" t="n"/>
      <c r="C199" s="113" t="n"/>
      <c r="D199" s="113" t="n"/>
      <c r="E199" s="113" t="n"/>
      <c r="F199" s="113" t="n"/>
      <c r="G199" s="114" t="n"/>
      <c r="H199" s="115" t="n"/>
      <c r="I199" s="116">
        <f>IF(AND(G199&lt;&gt;"",H199="En cours"),TODAY()-G199,IF(AND(G199&lt;&gt;"",H199="Cloture"),TODAY()-G199,""))</f>
        <v/>
      </c>
      <c r="J199" s="113" t="n"/>
      <c r="K199" s="113" t="n"/>
      <c r="L199" s="113" t="n"/>
      <c r="M199" s="117" t="n"/>
      <c r="N199" s="115" t="n"/>
      <c r="O199" s="118">
        <f>IF(G199&lt;&gt;"",TEXT(G199,"MMMM YYYY"),"")</f>
        <v/>
      </c>
      <c r="P199" s="118">
        <f>IF(G199&lt;&gt;"",YEAR(G199),"")</f>
        <v/>
      </c>
    </row>
    <row r="200" ht="21.75" customHeight="1" s="85">
      <c r="A200" s="119">
        <f>IF(B200&lt;&gt;"",ROW()-2,"")</f>
        <v/>
      </c>
      <c r="B200" s="120" t="n"/>
      <c r="C200" s="120" t="n"/>
      <c r="D200" s="120" t="n"/>
      <c r="E200" s="120" t="n"/>
      <c r="F200" s="120" t="n"/>
      <c r="G200" s="121" t="n"/>
      <c r="H200" s="122" t="n"/>
      <c r="I200" s="116">
        <f>IF(AND(G200&lt;&gt;"",H200="En cours"),TODAY()-G200,IF(AND(G200&lt;&gt;"",H200="Cloture"),TODAY()-G200,""))</f>
        <v/>
      </c>
      <c r="J200" s="120" t="n"/>
      <c r="K200" s="120" t="n"/>
      <c r="L200" s="120" t="n"/>
      <c r="M200" s="123" t="n"/>
      <c r="N200" s="122" t="n"/>
      <c r="O200" s="118">
        <f>IF(G200&lt;&gt;"",TEXT(G200,"MMMM YYYY"),"")</f>
        <v/>
      </c>
      <c r="P200" s="118">
        <f>IF(G200&lt;&gt;"",YEAR(G200),"")</f>
        <v/>
      </c>
    </row>
    <row r="201" ht="21.75" customHeight="1" s="85">
      <c r="A201" s="112">
        <f>IF(B201&lt;&gt;"",ROW()-2,"")</f>
        <v/>
      </c>
      <c r="B201" s="113" t="n"/>
      <c r="C201" s="113" t="n"/>
      <c r="D201" s="113" t="n"/>
      <c r="E201" s="113" t="n"/>
      <c r="F201" s="113" t="n"/>
      <c r="G201" s="114" t="n"/>
      <c r="H201" s="115" t="n"/>
      <c r="I201" s="116">
        <f>IF(AND(G201&lt;&gt;"",H201="En cours"),TODAY()-G201,IF(AND(G201&lt;&gt;"",H201="Cloture"),TODAY()-G201,""))</f>
        <v/>
      </c>
      <c r="J201" s="113" t="n"/>
      <c r="K201" s="113" t="n"/>
      <c r="L201" s="113" t="n"/>
      <c r="M201" s="117" t="n"/>
      <c r="N201" s="115" t="n"/>
      <c r="O201" s="118">
        <f>IF(G201&lt;&gt;"",TEXT(G201,"MMMM YYYY"),"")</f>
        <v/>
      </c>
      <c r="P201" s="118">
        <f>IF(G201&lt;&gt;"",YEAR(G201),"")</f>
        <v/>
      </c>
    </row>
    <row r="202" ht="21.75" customHeight="1" s="85">
      <c r="A202" s="119">
        <f>IF(B202&lt;&gt;"",ROW()-2,"")</f>
        <v/>
      </c>
      <c r="B202" s="120" t="n"/>
      <c r="C202" s="120" t="n"/>
      <c r="D202" s="120" t="n"/>
      <c r="E202" s="120" t="n"/>
      <c r="F202" s="120" t="n"/>
      <c r="G202" s="121" t="n"/>
      <c r="H202" s="122" t="n"/>
      <c r="I202" s="116">
        <f>IF(AND(G202&lt;&gt;"",H202="En cours"),TODAY()-G202,IF(AND(G202&lt;&gt;"",H202="Cloture"),TODAY()-G202,""))</f>
        <v/>
      </c>
      <c r="J202" s="120" t="n"/>
      <c r="K202" s="120" t="n"/>
      <c r="L202" s="120" t="n"/>
      <c r="M202" s="123" t="n"/>
      <c r="N202" s="122" t="n"/>
      <c r="O202" s="118">
        <f>IF(G202&lt;&gt;"",TEXT(G202,"MMMM YYYY"),"")</f>
        <v/>
      </c>
      <c r="P202" s="118">
        <f>IF(G202&lt;&gt;"",YEAR(G202),"")</f>
        <v/>
      </c>
    </row>
  </sheetData>
  <mergeCells count="1">
    <mergeCell ref="A1:P1"/>
  </mergeCells>
  <conditionalFormatting sqref="H3:H202">
    <cfRule type="cellIs" rank="0" priority="2" equalAverage="0" operator="equal" aboveAverage="0" dxfId="10" text="" percent="0" bottom="0">
      <formula>"En cours"</formula>
    </cfRule>
    <cfRule type="cellIs" rank="0" priority="3" equalAverage="0" operator="equal" aboveAverage="0" dxfId="11" text="" percent="0" bottom="0">
      <formula>"Cloture"</formula>
    </cfRule>
    <cfRule type="cellIs" rank="0" priority="4" equalAverage="0" operator="equal" aboveAverage="0" dxfId="12" text="" percent="0" bottom="0">
      <formula>"En attente"</formula>
    </cfRule>
  </conditionalFormatting>
  <conditionalFormatting sqref="I3:I202">
    <cfRule type="expression" rank="0" priority="5" equalAverage="0" aboveAverage="0" dxfId="13" text="" percent="0" bottom="0">
      <formula>AND(I3&gt;30,H3="En cours")</formula>
    </cfRule>
    <cfRule type="expression" rank="0" priority="6" equalAverage="0" aboveAverage="0" dxfId="14" text="" percent="0" bottom="0">
      <formula>AND(I3&gt;15,I3&lt;=30,H3="En cours")</formula>
    </cfRule>
  </conditionalFormatting>
  <dataValidations count="3">
    <dataValidation sqref="H3:H202" showDropDown="0" showInputMessage="0" showErrorMessage="0" allowBlank="1" prompt="Statut du dossier" type="list" errorStyle="stop" operator="between">
      <formula1>"En cours,Cloture,En attente"</formula1>
      <formula2>0</formula2>
    </dataValidation>
    <dataValidation sqref="J3:L202" showDropDown="0" showInputMessage="0" showErrorMessage="0" allowBlank="1" prompt="Raison du suspens" type="list" errorStyle="stop" operator="between">
      <formula1>parametres!$a$2:$a$28</formula1>
      <formula2>0</formula2>
    </dataValidation>
    <dataValidation sqref="E3:E202" showDropDown="0" showInputMessage="0" showErrorMessage="0" allowBlank="1" type="list" errorStyle="stop" operator="between">
      <formula1>parametres!$c$2:$c$100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tabColor rgb="FF4A90D9"/>
    <outlinePr summaryBelow="1" summaryRight="1"/>
    <pageSetUpPr fitToPage="0"/>
  </sheetPr>
  <dimension ref="A1:H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84" min="1" max="1"/>
    <col width="14" customWidth="1" style="84" min="2" max="7"/>
    <col width="12" customWidth="1" style="84" min="8" max="8"/>
  </cols>
  <sheetData>
    <row r="1" ht="34.5" customHeight="1" s="85">
      <c r="A1" s="124" t="inlineStr">
        <is>
          <t>STATISTIQUES DES SUSPENS  |  SGCI</t>
        </is>
      </c>
    </row>
    <row r="2" ht="7.5" customHeight="1" s="85"/>
    <row r="3" ht="24.75" customHeight="1" s="85">
      <c r="A3" s="125" t="inlineStr">
        <is>
          <t>SUSPENS PAR RAISON</t>
        </is>
      </c>
    </row>
    <row r="4" ht="21.75" customHeight="1" s="85">
      <c r="A4" s="126" t="inlineStr">
        <is>
          <t>RAISON DU SUSPENS</t>
        </is>
      </c>
      <c r="B4" s="126" t="inlineStr">
        <is>
          <t>TOTAL</t>
        </is>
      </c>
      <c r="C4" s="126" t="inlineStr">
        <is>
          <t>EN COURS</t>
        </is>
      </c>
      <c r="D4" s="126" t="inlineStr">
        <is>
          <t>CLOTURE</t>
        </is>
      </c>
      <c r="E4" s="126" t="inlineStr">
        <is>
          <t>EN ATTENTE</t>
        </is>
      </c>
      <c r="F4" s="126" t="inlineStr">
        <is>
          <t>DUREE MOY (j)</t>
        </is>
      </c>
      <c r="G4" s="126" t="inlineStr">
        <is>
          <t>% DU TOTAL</t>
        </is>
      </c>
      <c r="H4" s="127" t="n"/>
    </row>
    <row r="5" ht="21.75" customHeight="1" s="85">
      <c r="A5" s="120" t="inlineStr">
        <is>
          <t>Absence de CREDAPP</t>
        </is>
      </c>
      <c r="B5" s="128">
        <f>COUNTIF('📋 Suspens'!J:J,A5)+COUNTIF('📋 Suspens'!K:K,A5)+COUNTIF('📋 Suspens'!L:L,A5)</f>
        <v/>
      </c>
      <c r="C5" s="122">
        <f>COUNTIFS('📋 Suspens'!J:J,A5,'📋 Suspens'!H:H,"En cours")+COUNTIFS('📋 Suspens'!K:K,A5,'📋 Suspens'!H:H,"En cours")+COUNTIFS('📋 Suspens'!L:L,A5,'📋 Suspens'!H:H,"En cours")</f>
        <v/>
      </c>
      <c r="D5" s="122">
        <f>COUNTIFS('📋 Suspens'!J:J,A5,'📋 Suspens'!H:H,"Cloture")+COUNTIFS('📋 Suspens'!K:K,A5,'📋 Suspens'!H:H,"Cloture")+COUNTIFS('📋 Suspens'!L:L,A5,'📋 Suspens'!H:H,"Cloture")</f>
        <v/>
      </c>
      <c r="E5" s="122">
        <f>COUNTIFS('📋 Suspens'!J:J,A5,'📋 Suspens'!H:H,"En attente")+COUNTIFS('📋 Suspens'!K:K,A5,'📋 Suspens'!H:H,"En attente")+COUNTIFS('📋 Suspens'!L:L,A5,'📋 Suspens'!H:H,"En attente")</f>
        <v/>
      </c>
      <c r="F5" s="129">
        <f>IFERROR(AVERAGEIFS('📋 Suspens'!I:I,'📋 Suspens'!J:J,A5,'📋 Suspens'!H:H,"Cloture"),"")</f>
        <v/>
      </c>
      <c r="G5" s="130">
        <f>IFERROR(B5/SUM($B$5:$B$31),0)</f>
        <v/>
      </c>
      <c r="H5" s="131" t="n"/>
    </row>
    <row r="6" ht="21.75" customHeight="1" s="85">
      <c r="A6" s="113" t="inlineStr">
        <is>
          <t>Absence de notice financiere</t>
        </is>
      </c>
      <c r="B6" s="132">
        <f>COUNTIF('📋 Suspens'!J:J,A6)+COUNTIF('📋 Suspens'!K:K,A6)+COUNTIF('📋 Suspens'!L:L,A6)</f>
        <v/>
      </c>
      <c r="C6" s="115">
        <f>COUNTIFS('📋 Suspens'!J:J,A6,'📋 Suspens'!H:H,"En cours")+COUNTIFS('📋 Suspens'!K:K,A6,'📋 Suspens'!H:H,"En cours")+COUNTIFS('📋 Suspens'!L:L,A6,'📋 Suspens'!H:H,"En cours")</f>
        <v/>
      </c>
      <c r="D6" s="115">
        <f>COUNTIFS('📋 Suspens'!J:J,A6,'📋 Suspens'!H:H,"Cloture")+COUNTIFS('📋 Suspens'!K:K,A6,'📋 Suspens'!H:H,"Cloture")+COUNTIFS('📋 Suspens'!L:L,A6,'📋 Suspens'!H:H,"Cloture")</f>
        <v/>
      </c>
      <c r="E6" s="115">
        <f>COUNTIFS('📋 Suspens'!J:J,A6,'📋 Suspens'!H:H,"En attente")+COUNTIFS('📋 Suspens'!K:K,A6,'📋 Suspens'!H:H,"En attente")+COUNTIFS('📋 Suspens'!L:L,A6,'📋 Suspens'!H:H,"En attente")</f>
        <v/>
      </c>
      <c r="F6" s="133">
        <f>IFERROR(AVERAGEIFS('📋 Suspens'!I:I,'📋 Suspens'!J:J,A6,'📋 Suspens'!H:H,"Cloture"),"")</f>
        <v/>
      </c>
      <c r="G6" s="134">
        <f>IFERROR(B6/SUM($B$5:$B$31),0)</f>
        <v/>
      </c>
      <c r="H6" s="135" t="n"/>
    </row>
    <row r="7" ht="21.75" customHeight="1" s="85">
      <c r="A7" s="120" t="inlineStr">
        <is>
          <t>Absence de page de signature</t>
        </is>
      </c>
      <c r="B7" s="128">
        <f>COUNTIF('📋 Suspens'!J:J,A7)+COUNTIF('📋 Suspens'!K:K,A7)+COUNTIF('📋 Suspens'!L:L,A7)</f>
        <v/>
      </c>
      <c r="C7" s="122">
        <f>COUNTIFS('📋 Suspens'!J:J,A7,'📋 Suspens'!H:H,"En cours")+COUNTIFS('📋 Suspens'!K:K,A7,'📋 Suspens'!H:H,"En cours")+COUNTIFS('📋 Suspens'!L:L,A7,'📋 Suspens'!H:H,"En cours")</f>
        <v/>
      </c>
      <c r="D7" s="122">
        <f>COUNTIFS('📋 Suspens'!J:J,A7,'📋 Suspens'!H:H,"Cloture")+COUNTIFS('📋 Suspens'!K:K,A7,'📋 Suspens'!H:H,"Cloture")+COUNTIFS('📋 Suspens'!L:L,A7,'📋 Suspens'!H:H,"Cloture")</f>
        <v/>
      </c>
      <c r="E7" s="122">
        <f>COUNTIFS('📋 Suspens'!J:J,A7,'📋 Suspens'!H:H,"En attente")+COUNTIFS('📋 Suspens'!K:K,A7,'📋 Suspens'!H:H,"En attente")+COUNTIFS('📋 Suspens'!L:L,A7,'📋 Suspens'!H:H,"En attente")</f>
        <v/>
      </c>
      <c r="F7" s="129">
        <f>IFERROR(AVERAGEIFS('📋 Suspens'!I:I,'📋 Suspens'!J:J,A7,'📋 Suspens'!H:H,"Cloture"),"")</f>
        <v/>
      </c>
      <c r="G7" s="130">
        <f>IFERROR(B7/SUM($B$5:$B$31),0)</f>
        <v/>
      </c>
      <c r="H7" s="131" t="n"/>
    </row>
    <row r="8" ht="21.75" customHeight="1" s="85">
      <c r="A8" s="113" t="inlineStr">
        <is>
          <t>Absence de rapport CAC ou derogation CRO</t>
        </is>
      </c>
      <c r="B8" s="132">
        <f>COUNTIF('📋 Suspens'!J:J,A8)+COUNTIF('📋 Suspens'!K:K,A8)+COUNTIF('📋 Suspens'!L:L,A8)</f>
        <v/>
      </c>
      <c r="C8" s="115">
        <f>COUNTIFS('📋 Suspens'!J:J,A8,'📋 Suspens'!H:H,"En cours")+COUNTIFS('📋 Suspens'!K:K,A8,'📋 Suspens'!H:H,"En cours")+COUNTIFS('📋 Suspens'!L:L,A8,'📋 Suspens'!H:H,"En cours")</f>
        <v/>
      </c>
      <c r="D8" s="115">
        <f>COUNTIFS('📋 Suspens'!J:J,A8,'📋 Suspens'!H:H,"Cloture")+COUNTIFS('📋 Suspens'!K:K,A8,'📋 Suspens'!H:H,"Cloture")+COUNTIFS('📋 Suspens'!L:L,A8,'📋 Suspens'!H:H,"Cloture")</f>
        <v/>
      </c>
      <c r="E8" s="115">
        <f>COUNTIFS('📋 Suspens'!J:J,A8,'📋 Suspens'!H:H,"En attente")+COUNTIFS('📋 Suspens'!K:K,A8,'📋 Suspens'!H:H,"En attente")+COUNTIFS('📋 Suspens'!L:L,A8,'📋 Suspens'!H:H,"En attente")</f>
        <v/>
      </c>
      <c r="F8" s="133">
        <f>IFERROR(AVERAGEIFS('📋 Suspens'!I:I,'📋 Suspens'!J:J,A8,'📋 Suspens'!H:H,"Cloture"),"")</f>
        <v/>
      </c>
      <c r="G8" s="134">
        <f>IFERROR(B8/SUM($B$5:$B$31),0)</f>
        <v/>
      </c>
      <c r="H8" s="135" t="n"/>
    </row>
    <row r="9" ht="21.75" customHeight="1" s="85">
      <c r="A9" s="120" t="inlineStr">
        <is>
          <t>Absence de fiche KYC</t>
        </is>
      </c>
      <c r="B9" s="128">
        <f>COUNTIF('📋 Suspens'!J:J,A9)+COUNTIF('📋 Suspens'!K:K,A9)+COUNTIF('📋 Suspens'!L:L,A9)</f>
        <v/>
      </c>
      <c r="C9" s="122">
        <f>COUNTIFS('📋 Suspens'!J:J,A9,'📋 Suspens'!H:H,"En cours")+COUNTIFS('📋 Suspens'!K:K,A9,'📋 Suspens'!H:H,"En cours")+COUNTIFS('📋 Suspens'!L:L,A9,'📋 Suspens'!H:H,"En cours")</f>
        <v/>
      </c>
      <c r="D9" s="122">
        <f>COUNTIFS('📋 Suspens'!J:J,A9,'📋 Suspens'!H:H,"Cloture")+COUNTIFS('📋 Suspens'!K:K,A9,'📋 Suspens'!H:H,"Cloture")+COUNTIFS('📋 Suspens'!L:L,A9,'📋 Suspens'!H:H,"Cloture")</f>
        <v/>
      </c>
      <c r="E9" s="122">
        <f>COUNTIFS('📋 Suspens'!J:J,A9,'📋 Suspens'!H:H,"En attente")+COUNTIFS('📋 Suspens'!K:K,A9,'📋 Suspens'!H:H,"En attente")+COUNTIFS('📋 Suspens'!L:L,A9,'📋 Suspens'!H:H,"En attente")</f>
        <v/>
      </c>
      <c r="F9" s="129">
        <f>IFERROR(AVERAGEIFS('📋 Suspens'!I:I,'📋 Suspens'!J:J,A9,'📋 Suspens'!H:H,"Cloture"),"")</f>
        <v/>
      </c>
      <c r="G9" s="130">
        <f>IFERROR(B9/SUM($B$5:$B$31),0)</f>
        <v/>
      </c>
      <c r="H9" s="131" t="n"/>
    </row>
    <row r="10" ht="21.75" customHeight="1" s="85">
      <c r="A10" s="113" t="inlineStr">
        <is>
          <t>Absence des fiches RBO</t>
        </is>
      </c>
      <c r="B10" s="132">
        <f>COUNTIF('📋 Suspens'!J:J,A10)+COUNTIF('📋 Suspens'!K:K,A10)+COUNTIF('📋 Suspens'!L:L,A10)</f>
        <v/>
      </c>
      <c r="C10" s="115">
        <f>COUNTIFS('📋 Suspens'!J:J,A10,'📋 Suspens'!H:H,"En cours")+COUNTIFS('📋 Suspens'!K:K,A10,'📋 Suspens'!H:H,"En cours")+COUNTIFS('📋 Suspens'!L:L,A10,'📋 Suspens'!H:H,"En cours")</f>
        <v/>
      </c>
      <c r="D10" s="115">
        <f>COUNTIFS('📋 Suspens'!J:J,A10,'📋 Suspens'!H:H,"Cloture")+COUNTIFS('📋 Suspens'!K:K,A10,'📋 Suspens'!H:H,"Cloture")+COUNTIFS('📋 Suspens'!L:L,A10,'📋 Suspens'!H:H,"Cloture")</f>
        <v/>
      </c>
      <c r="E10" s="115">
        <f>COUNTIFS('📋 Suspens'!J:J,A10,'📋 Suspens'!H:H,"En attente")+COUNTIFS('📋 Suspens'!K:K,A10,'📋 Suspens'!H:H,"En attente")+COUNTIFS('📋 Suspens'!L:L,A10,'📋 Suspens'!H:H,"En attente")</f>
        <v/>
      </c>
      <c r="F10" s="133">
        <f>IFERROR(AVERAGEIFS('📋 Suspens'!I:I,'📋 Suspens'!J:J,A10,'📋 Suspens'!H:H,"Cloture"),"")</f>
        <v/>
      </c>
      <c r="G10" s="134">
        <f>IFERROR(B10/SUM($B$5:$B$31),0)</f>
        <v/>
      </c>
      <c r="H10" s="135" t="n"/>
    </row>
    <row r="11" ht="21.75" customHeight="1" s="85">
      <c r="A11" s="120" t="inlineStr">
        <is>
          <t>Absence de la fiche CLEO</t>
        </is>
      </c>
      <c r="B11" s="128">
        <f>COUNTIF('📋 Suspens'!J:J,A11)+COUNTIF('📋 Suspens'!K:K,A11)+COUNTIF('📋 Suspens'!L:L,A11)</f>
        <v/>
      </c>
      <c r="C11" s="122">
        <f>COUNTIFS('📋 Suspens'!J:J,A11,'📋 Suspens'!H:H,"En cours")+COUNTIFS('📋 Suspens'!K:K,A11,'📋 Suspens'!H:H,"En cours")+COUNTIFS('📋 Suspens'!L:L,A11,'📋 Suspens'!H:H,"En cours")</f>
        <v/>
      </c>
      <c r="D11" s="122">
        <f>COUNTIFS('📋 Suspens'!J:J,A11,'📋 Suspens'!H:H,"Cloture")+COUNTIFS('📋 Suspens'!K:K,A11,'📋 Suspens'!H:H,"Cloture")+COUNTIFS('📋 Suspens'!L:L,A11,'📋 Suspens'!H:H,"Cloture")</f>
        <v/>
      </c>
      <c r="E11" s="122">
        <f>COUNTIFS('📋 Suspens'!J:J,A11,'📋 Suspens'!H:H,"En attente")+COUNTIFS('📋 Suspens'!K:K,A11,'📋 Suspens'!H:H,"En attente")+COUNTIFS('📋 Suspens'!L:L,A11,'📋 Suspens'!H:H,"En attente")</f>
        <v/>
      </c>
      <c r="F11" s="129">
        <f>IFERROR(AVERAGEIFS('📋 Suspens'!I:I,'📋 Suspens'!J:J,A11,'📋 Suspens'!H:H,"Cloture"),"")</f>
        <v/>
      </c>
      <c r="G11" s="130">
        <f>IFERROR(B11/SUM($B$5:$B$31),0)</f>
        <v/>
      </c>
      <c r="H11" s="131" t="n"/>
    </row>
    <row r="12" ht="21.75" customHeight="1" s="85">
      <c r="A12" s="113" t="inlineStr">
        <is>
          <t>Absence de la GL du PCRU</t>
        </is>
      </c>
      <c r="B12" s="132">
        <f>COUNTIF('📋 Suspens'!J:J,A12)+COUNTIF('📋 Suspens'!K:K,A12)+COUNTIF('📋 Suspens'!L:L,A12)</f>
        <v/>
      </c>
      <c r="C12" s="115">
        <f>COUNTIFS('📋 Suspens'!J:J,A12,'📋 Suspens'!H:H,"En cours")+COUNTIFS('📋 Suspens'!K:K,A12,'📋 Suspens'!H:H,"En cours")+COUNTIFS('📋 Suspens'!L:L,A12,'📋 Suspens'!H:H,"En cours")</f>
        <v/>
      </c>
      <c r="D12" s="115">
        <f>COUNTIFS('📋 Suspens'!J:J,A12,'📋 Suspens'!H:H,"Cloture")+COUNTIFS('📋 Suspens'!K:K,A12,'📋 Suspens'!H:H,"Cloture")+COUNTIFS('📋 Suspens'!L:L,A12,'📋 Suspens'!H:H,"Cloture")</f>
        <v/>
      </c>
      <c r="E12" s="115">
        <f>COUNTIFS('📋 Suspens'!J:J,A12,'📋 Suspens'!H:H,"En attente")+COUNTIFS('📋 Suspens'!K:K,A12,'📋 Suspens'!H:H,"En attente")+COUNTIFS('📋 Suspens'!L:L,A12,'📋 Suspens'!H:H,"En attente")</f>
        <v/>
      </c>
      <c r="F12" s="133">
        <f>IFERROR(AVERAGEIFS('📋 Suspens'!I:I,'📋 Suspens'!J:J,A12,'📋 Suspens'!H:H,"Cloture"),"")</f>
        <v/>
      </c>
      <c r="G12" s="134">
        <f>IFERROR(B12/SUM($B$5:$B$31),0)</f>
        <v/>
      </c>
      <c r="H12" s="135" t="n"/>
    </row>
    <row r="13" ht="21.75" customHeight="1" s="85">
      <c r="A13" s="120" t="inlineStr">
        <is>
          <t>Absence de projet de note NOVA</t>
        </is>
      </c>
      <c r="B13" s="128">
        <f>COUNTIF('📋 Suspens'!J:J,A13)+COUNTIF('📋 Suspens'!K:K,A13)+COUNTIF('📋 Suspens'!L:L,A13)</f>
        <v/>
      </c>
      <c r="C13" s="122">
        <f>COUNTIFS('📋 Suspens'!J:J,A13,'📋 Suspens'!H:H,"En cours")+COUNTIFS('📋 Suspens'!K:K,A13,'📋 Suspens'!H:H,"En cours")+COUNTIFS('📋 Suspens'!L:L,A13,'📋 Suspens'!H:H,"En cours")</f>
        <v/>
      </c>
      <c r="D13" s="122">
        <f>COUNTIFS('📋 Suspens'!J:J,A13,'📋 Suspens'!H:H,"Cloture")+COUNTIFS('📋 Suspens'!K:K,A13,'📋 Suspens'!H:H,"Cloture")+COUNTIFS('📋 Suspens'!L:L,A13,'📋 Suspens'!H:H,"Cloture")</f>
        <v/>
      </c>
      <c r="E13" s="122">
        <f>COUNTIFS('📋 Suspens'!J:J,A13,'📋 Suspens'!H:H,"En attente")+COUNTIFS('📋 Suspens'!K:K,A13,'📋 Suspens'!H:H,"En attente")+COUNTIFS('📋 Suspens'!L:L,A13,'📋 Suspens'!H:H,"En attente")</f>
        <v/>
      </c>
      <c r="F13" s="129">
        <f>IFERROR(AVERAGEIFS('📋 Suspens'!I:I,'📋 Suspens'!J:J,A13,'📋 Suspens'!H:H,"Cloture"),"")</f>
        <v/>
      </c>
      <c r="G13" s="130">
        <f>IFERROR(B13/SUM($B$5:$B$31),0)</f>
        <v/>
      </c>
      <c r="H13" s="131" t="n"/>
    </row>
    <row r="14" ht="21.75" customHeight="1" s="85">
      <c r="A14" s="113" t="inlineStr">
        <is>
          <t>Absence de la fiche RSE</t>
        </is>
      </c>
      <c r="B14" s="132">
        <f>COUNTIF('📋 Suspens'!J:J,A14)+COUNTIF('📋 Suspens'!K:K,A14)+COUNTIF('📋 Suspens'!L:L,A14)</f>
        <v/>
      </c>
      <c r="C14" s="115">
        <f>COUNTIFS('📋 Suspens'!J:J,A14,'📋 Suspens'!H:H,"En cours")+COUNTIFS('📋 Suspens'!K:K,A14,'📋 Suspens'!H:H,"En cours")+COUNTIFS('📋 Suspens'!L:L,A14,'📋 Suspens'!H:H,"En cours")</f>
        <v/>
      </c>
      <c r="D14" s="115">
        <f>COUNTIFS('📋 Suspens'!J:J,A14,'📋 Suspens'!H:H,"Cloture")+COUNTIFS('📋 Suspens'!K:K,A14,'📋 Suspens'!H:H,"Cloture")+COUNTIFS('📋 Suspens'!L:L,A14,'📋 Suspens'!H:H,"Cloture")</f>
        <v/>
      </c>
      <c r="E14" s="115">
        <f>COUNTIFS('📋 Suspens'!J:J,A14,'📋 Suspens'!H:H,"En attente")+COUNTIFS('📋 Suspens'!K:K,A14,'📋 Suspens'!H:H,"En attente")+COUNTIFS('📋 Suspens'!L:L,A14,'📋 Suspens'!H:H,"En attente")</f>
        <v/>
      </c>
      <c r="F14" s="133">
        <f>IFERROR(AVERAGEIFS('📋 Suspens'!I:I,'📋 Suspens'!J:J,A14,'📋 Suspens'!H:H,"Cloture"),"")</f>
        <v/>
      </c>
      <c r="G14" s="134">
        <f>IFERROR(B14/SUM($B$5:$B$31),0)</f>
        <v/>
      </c>
      <c r="H14" s="135" t="n"/>
    </row>
    <row r="15" ht="21.75" customHeight="1" s="85">
      <c r="A15" s="120" t="inlineStr">
        <is>
          <t>Absence de quitus fiscal</t>
        </is>
      </c>
      <c r="B15" s="128">
        <f>COUNTIF('📋 Suspens'!J:J,A15)+COUNTIF('📋 Suspens'!K:K,A15)+COUNTIF('📋 Suspens'!L:L,A15)</f>
        <v/>
      </c>
      <c r="C15" s="122">
        <f>COUNTIFS('📋 Suspens'!J:J,A15,'📋 Suspens'!H:H,"En cours")+COUNTIFS('📋 Suspens'!K:K,A15,'📋 Suspens'!H:H,"En cours")+COUNTIFS('📋 Suspens'!L:L,A15,'📋 Suspens'!H:H,"En cours")</f>
        <v/>
      </c>
      <c r="D15" s="122">
        <f>COUNTIFS('📋 Suspens'!J:J,A15,'📋 Suspens'!H:H,"Cloture")+COUNTIFS('📋 Suspens'!K:K,A15,'📋 Suspens'!H:H,"Cloture")+COUNTIFS('📋 Suspens'!L:L,A15,'📋 Suspens'!H:H,"Cloture")</f>
        <v/>
      </c>
      <c r="E15" s="122">
        <f>COUNTIFS('📋 Suspens'!J:J,A15,'📋 Suspens'!H:H,"En attente")+COUNTIFS('📋 Suspens'!K:K,A15,'📋 Suspens'!H:H,"En attente")+COUNTIFS('📋 Suspens'!L:L,A15,'📋 Suspens'!H:H,"En attente")</f>
        <v/>
      </c>
      <c r="F15" s="129">
        <f>IFERROR(AVERAGEIFS('📋 Suspens'!I:I,'📋 Suspens'!J:J,A15,'📋 Suspens'!H:H,"Cloture"),"")</f>
        <v/>
      </c>
      <c r="G15" s="130">
        <f>IFERROR(B15/SUM($B$5:$B$31),0)</f>
        <v/>
      </c>
      <c r="H15" s="131" t="n"/>
    </row>
    <row r="16" ht="21.75" customHeight="1" s="85">
      <c r="A16" s="113" t="inlineStr">
        <is>
          <t>Absence de fiche BIC</t>
        </is>
      </c>
      <c r="B16" s="132">
        <f>COUNTIF('📋 Suspens'!J:J,A16)+COUNTIF('📋 Suspens'!K:K,A16)+COUNTIF('📋 Suspens'!L:L,A16)</f>
        <v/>
      </c>
      <c r="C16" s="115">
        <f>COUNTIFS('📋 Suspens'!J:J,A16,'📋 Suspens'!H:H,"En cours")+COUNTIFS('📋 Suspens'!K:K,A16,'📋 Suspens'!H:H,"En cours")+COUNTIFS('📋 Suspens'!L:L,A16,'📋 Suspens'!H:H,"En cours")</f>
        <v/>
      </c>
      <c r="D16" s="115">
        <f>COUNTIFS('📋 Suspens'!J:J,A16,'📋 Suspens'!H:H,"Cloture")+COUNTIFS('📋 Suspens'!K:K,A16,'📋 Suspens'!H:H,"Cloture")+COUNTIFS('📋 Suspens'!L:L,A16,'📋 Suspens'!H:H,"Cloture")</f>
        <v/>
      </c>
      <c r="E16" s="115">
        <f>COUNTIFS('📋 Suspens'!J:J,A16,'📋 Suspens'!H:H,"En attente")+COUNTIFS('📋 Suspens'!K:K,A16,'📋 Suspens'!H:H,"En attente")+COUNTIFS('📋 Suspens'!L:L,A16,'📋 Suspens'!H:H,"En attente")</f>
        <v/>
      </c>
      <c r="F16" s="133">
        <f>IFERROR(AVERAGEIFS('📋 Suspens'!I:I,'📋 Suspens'!J:J,A16,'📋 Suspens'!H:H,"Cloture"),"")</f>
        <v/>
      </c>
      <c r="G16" s="134">
        <f>IFERROR(B16/SUM($B$5:$B$31),0)</f>
        <v/>
      </c>
      <c r="H16" s="135" t="n"/>
    </row>
    <row r="17" ht="21.75" customHeight="1" s="85">
      <c r="A17" s="120" t="inlineStr">
        <is>
          <t>Absence de mail de formalisation de garanties</t>
        </is>
      </c>
      <c r="B17" s="128">
        <f>COUNTIF('📋 Suspens'!J:J,A17)+COUNTIF('📋 Suspens'!K:K,A17)+COUNTIF('📋 Suspens'!L:L,A17)</f>
        <v/>
      </c>
      <c r="C17" s="122">
        <f>COUNTIFS('📋 Suspens'!J:J,A17,'📋 Suspens'!H:H,"En cours")+COUNTIFS('📋 Suspens'!K:K,A17,'📋 Suspens'!H:H,"En cours")+COUNTIFS('📋 Suspens'!L:L,A17,'📋 Suspens'!H:H,"En cours")</f>
        <v/>
      </c>
      <c r="D17" s="122">
        <f>COUNTIFS('📋 Suspens'!J:J,A17,'📋 Suspens'!H:H,"Cloture")+COUNTIFS('📋 Suspens'!K:K,A17,'📋 Suspens'!H:H,"Cloture")+COUNTIFS('📋 Suspens'!L:L,A17,'📋 Suspens'!H:H,"Cloture")</f>
        <v/>
      </c>
      <c r="E17" s="122">
        <f>COUNTIFS('📋 Suspens'!J:J,A17,'📋 Suspens'!H:H,"En attente")+COUNTIFS('📋 Suspens'!K:K,A17,'📋 Suspens'!H:H,"En attente")+COUNTIFS('📋 Suspens'!L:L,A17,'📋 Suspens'!H:H,"En attente")</f>
        <v/>
      </c>
      <c r="F17" s="129">
        <f>IFERROR(AVERAGEIFS('📋 Suspens'!I:I,'📋 Suspens'!J:J,A17,'📋 Suspens'!H:H,"Cloture"),"")</f>
        <v/>
      </c>
      <c r="G17" s="130">
        <f>IFERROR(B17/SUM($B$5:$B$31),0)</f>
        <v/>
      </c>
      <c r="H17" s="131" t="n"/>
    </row>
    <row r="18" ht="21.75" customHeight="1" s="85">
      <c r="A18" s="113" t="inlineStr">
        <is>
          <t>Absence de chiffres intermediaires</t>
        </is>
      </c>
      <c r="B18" s="132">
        <f>COUNTIF('📋 Suspens'!J:J,A18)+COUNTIF('📋 Suspens'!K:K,A18)+COUNTIF('📋 Suspens'!L:L,A18)</f>
        <v/>
      </c>
      <c r="C18" s="115">
        <f>COUNTIFS('📋 Suspens'!J:J,A18,'📋 Suspens'!H:H,"En cours")+COUNTIFS('📋 Suspens'!K:K,A18,'📋 Suspens'!H:H,"En cours")+COUNTIFS('📋 Suspens'!L:L,A18,'📋 Suspens'!H:H,"En cours")</f>
        <v/>
      </c>
      <c r="D18" s="115">
        <f>COUNTIFS('📋 Suspens'!J:J,A18,'📋 Suspens'!H:H,"Cloture")+COUNTIFS('📋 Suspens'!K:K,A18,'📋 Suspens'!H:H,"Cloture")+COUNTIFS('📋 Suspens'!L:L,A18,'📋 Suspens'!H:H,"Cloture")</f>
        <v/>
      </c>
      <c r="E18" s="115">
        <f>COUNTIFS('📋 Suspens'!J:J,A18,'📋 Suspens'!H:H,"En attente")+COUNTIFS('📋 Suspens'!K:K,A18,'📋 Suspens'!H:H,"En attente")+COUNTIFS('📋 Suspens'!L:L,A18,'📋 Suspens'!H:H,"En attente")</f>
        <v/>
      </c>
      <c r="F18" s="133">
        <f>IFERROR(AVERAGEIFS('📋 Suspens'!I:I,'📋 Suspens'!J:J,A18,'📋 Suspens'!H:H,"Cloture"),"")</f>
        <v/>
      </c>
      <c r="G18" s="134">
        <f>IFERROR(B18/SUM($B$5:$B$31),0)</f>
        <v/>
      </c>
      <c r="H18" s="135" t="n"/>
    </row>
    <row r="19" ht="21.75" customHeight="1" s="85">
      <c r="A19" s="120" t="inlineStr">
        <is>
          <t>Absence de plan de tresorerie</t>
        </is>
      </c>
      <c r="B19" s="128">
        <f>COUNTIF('📋 Suspens'!J:J,A19)+COUNTIF('📋 Suspens'!K:K,A19)+COUNTIF('📋 Suspens'!L:L,A19)</f>
        <v/>
      </c>
      <c r="C19" s="122">
        <f>COUNTIFS('📋 Suspens'!J:J,A19,'📋 Suspens'!H:H,"En cours")+COUNTIFS('📋 Suspens'!K:K,A19,'📋 Suspens'!H:H,"En cours")+COUNTIFS('📋 Suspens'!L:L,A19,'📋 Suspens'!H:H,"En cours")</f>
        <v/>
      </c>
      <c r="D19" s="122">
        <f>COUNTIFS('📋 Suspens'!J:J,A19,'📋 Suspens'!H:H,"Cloture")+COUNTIFS('📋 Suspens'!K:K,A19,'📋 Suspens'!H:H,"Cloture")+COUNTIFS('📋 Suspens'!L:L,A19,'📋 Suspens'!H:H,"Cloture")</f>
        <v/>
      </c>
      <c r="E19" s="122">
        <f>COUNTIFS('📋 Suspens'!J:J,A19,'📋 Suspens'!H:H,"En attente")+COUNTIFS('📋 Suspens'!K:K,A19,'📋 Suspens'!H:H,"En attente")+COUNTIFS('📋 Suspens'!L:L,A19,'📋 Suspens'!H:H,"En attente")</f>
        <v/>
      </c>
      <c r="F19" s="129">
        <f>IFERROR(AVERAGEIFS('📋 Suspens'!I:I,'📋 Suspens'!J:J,A19,'📋 Suspens'!H:H,"Cloture"),"")</f>
        <v/>
      </c>
      <c r="G19" s="130">
        <f>IFERROR(B19/SUM($B$5:$B$31),0)</f>
        <v/>
      </c>
      <c r="H19" s="131" t="n"/>
    </row>
    <row r="20" ht="21.75" customHeight="1" s="85">
      <c r="A20" s="113" t="inlineStr">
        <is>
          <t>Absence de PV de continuite</t>
        </is>
      </c>
      <c r="B20" s="132">
        <f>COUNTIF('📋 Suspens'!J:J,A20)+COUNTIF('📋 Suspens'!K:K,A20)+COUNTIF('📋 Suspens'!L:L,A20)</f>
        <v/>
      </c>
      <c r="C20" s="115">
        <f>COUNTIFS('📋 Suspens'!J:J,A20,'📋 Suspens'!H:H,"En cours")+COUNTIFS('📋 Suspens'!K:K,A20,'📋 Suspens'!H:H,"En cours")+COUNTIFS('📋 Suspens'!L:L,A20,'📋 Suspens'!H:H,"En cours")</f>
        <v/>
      </c>
      <c r="D20" s="115">
        <f>COUNTIFS('📋 Suspens'!J:J,A20,'📋 Suspens'!H:H,"Cloture")+COUNTIFS('📋 Suspens'!K:K,A20,'📋 Suspens'!H:H,"Cloture")+COUNTIFS('📋 Suspens'!L:L,A20,'📋 Suspens'!H:H,"Cloture")</f>
        <v/>
      </c>
      <c r="E20" s="115">
        <f>COUNTIFS('📋 Suspens'!J:J,A20,'📋 Suspens'!H:H,"En attente")+COUNTIFS('📋 Suspens'!K:K,A20,'📋 Suspens'!H:H,"En attente")+COUNTIFS('📋 Suspens'!L:L,A20,'📋 Suspens'!H:H,"En attente")</f>
        <v/>
      </c>
      <c r="F20" s="133">
        <f>IFERROR(AVERAGEIFS('📋 Suspens'!I:I,'📋 Suspens'!J:J,A20,'📋 Suspens'!H:H,"Cloture"),"")</f>
        <v/>
      </c>
      <c r="G20" s="134">
        <f>IFERROR(B20/SUM($B$5:$B$31),0)</f>
        <v/>
      </c>
      <c r="H20" s="135" t="n"/>
    </row>
    <row r="21" ht="21.75" customHeight="1" s="85">
      <c r="A21" s="120" t="inlineStr">
        <is>
          <t>Absence de visibilite groupe</t>
        </is>
      </c>
      <c r="B21" s="128">
        <f>COUNTIF('📋 Suspens'!J:J,A21)+COUNTIF('📋 Suspens'!K:K,A21)+COUNTIF('📋 Suspens'!L:L,A21)</f>
        <v/>
      </c>
      <c r="C21" s="122">
        <f>COUNTIFS('📋 Suspens'!J:J,A21,'📋 Suspens'!H:H,"En cours")+COUNTIFS('📋 Suspens'!K:K,A21,'📋 Suspens'!H:H,"En cours")+COUNTIFS('📋 Suspens'!L:L,A21,'📋 Suspens'!H:H,"En cours")</f>
        <v/>
      </c>
      <c r="D21" s="122">
        <f>COUNTIFS('📋 Suspens'!J:J,A21,'📋 Suspens'!H:H,"Cloture")+COUNTIFS('📋 Suspens'!K:K,A21,'📋 Suspens'!H:H,"Cloture")+COUNTIFS('📋 Suspens'!L:L,A21,'📋 Suspens'!H:H,"Cloture")</f>
        <v/>
      </c>
      <c r="E21" s="122">
        <f>COUNTIFS('📋 Suspens'!J:J,A21,'📋 Suspens'!H:H,"En attente")+COUNTIFS('📋 Suspens'!K:K,A21,'📋 Suspens'!H:H,"En attente")+COUNTIFS('📋 Suspens'!L:L,A21,'📋 Suspens'!H:H,"En attente")</f>
        <v/>
      </c>
      <c r="F21" s="129">
        <f>IFERROR(AVERAGEIFS('📋 Suspens'!I:I,'📋 Suspens'!J:J,A21,'📋 Suspens'!H:H,"Cloture"),"")</f>
        <v/>
      </c>
      <c r="G21" s="130">
        <f>IFERROR(B21/SUM($B$5:$B$31),0)</f>
        <v/>
      </c>
      <c r="H21" s="131" t="n"/>
    </row>
    <row r="22" ht="21.75" customHeight="1" s="85">
      <c r="A22" s="113" t="inlineStr">
        <is>
          <t>Renseignement incomplet CREDAPP</t>
        </is>
      </c>
      <c r="B22" s="132">
        <f>COUNTIF('📋 Suspens'!J:J,A22)+COUNTIF('📋 Suspens'!K:K,A22)+COUNTIF('📋 Suspens'!L:L,A22)</f>
        <v/>
      </c>
      <c r="C22" s="115">
        <f>COUNTIFS('📋 Suspens'!J:J,A22,'📋 Suspens'!H:H,"En cours")+COUNTIFS('📋 Suspens'!K:K,A22,'📋 Suspens'!H:H,"En cours")+COUNTIFS('📋 Suspens'!L:L,A22,'📋 Suspens'!H:H,"En cours")</f>
        <v/>
      </c>
      <c r="D22" s="115">
        <f>COUNTIFS('📋 Suspens'!J:J,A22,'📋 Suspens'!H:H,"Cloture")+COUNTIFS('📋 Suspens'!K:K,A22,'📋 Suspens'!H:H,"Cloture")+COUNTIFS('📋 Suspens'!L:L,A22,'📋 Suspens'!H:H,"Cloture")</f>
        <v/>
      </c>
      <c r="E22" s="115">
        <f>COUNTIFS('📋 Suspens'!J:J,A22,'📋 Suspens'!H:H,"En attente")+COUNTIFS('📋 Suspens'!K:K,A22,'📋 Suspens'!H:H,"En attente")+COUNTIFS('📋 Suspens'!L:L,A22,'📋 Suspens'!H:H,"En attente")</f>
        <v/>
      </c>
      <c r="F22" s="133">
        <f>IFERROR(AVERAGEIFS('📋 Suspens'!I:I,'📋 Suspens'!J:J,A22,'📋 Suspens'!H:H,"Cloture"),"")</f>
        <v/>
      </c>
      <c r="G22" s="134">
        <f>IFERROR(B22/SUM($B$5:$B$31),0)</f>
        <v/>
      </c>
      <c r="H22" s="135" t="n"/>
    </row>
    <row r="23" ht="21.75" customHeight="1" s="85">
      <c r="A23" s="120" t="inlineStr">
        <is>
          <t>Incoherence liasse fiscale / NF</t>
        </is>
      </c>
      <c r="B23" s="128">
        <f>COUNTIF('📋 Suspens'!J:J,A23)+COUNTIF('📋 Suspens'!K:K,A23)+COUNTIF('📋 Suspens'!L:L,A23)</f>
        <v/>
      </c>
      <c r="C23" s="122">
        <f>COUNTIFS('📋 Suspens'!J:J,A23,'📋 Suspens'!H:H,"En cours")+COUNTIFS('📋 Suspens'!K:K,A23,'📋 Suspens'!H:H,"En cours")+COUNTIFS('📋 Suspens'!L:L,A23,'📋 Suspens'!H:H,"En cours")</f>
        <v/>
      </c>
      <c r="D23" s="122">
        <f>COUNTIFS('📋 Suspens'!J:J,A23,'📋 Suspens'!H:H,"Cloture")+COUNTIFS('📋 Suspens'!K:K,A23,'📋 Suspens'!H:H,"Cloture")+COUNTIFS('📋 Suspens'!L:L,A23,'📋 Suspens'!H:H,"Cloture")</f>
        <v/>
      </c>
      <c r="E23" s="122">
        <f>COUNTIFS('📋 Suspens'!J:J,A23,'📋 Suspens'!H:H,"En attente")+COUNTIFS('📋 Suspens'!K:K,A23,'📋 Suspens'!H:H,"En attente")+COUNTIFS('📋 Suspens'!L:L,A23,'📋 Suspens'!H:H,"En attente")</f>
        <v/>
      </c>
      <c r="F23" s="129">
        <f>IFERROR(AVERAGEIFS('📋 Suspens'!I:I,'📋 Suspens'!J:J,A23,'📋 Suspens'!H:H,"Cloture"),"")</f>
        <v/>
      </c>
      <c r="G23" s="130">
        <f>IFERROR(B23/SUM($B$5:$B$31),0)</f>
        <v/>
      </c>
      <c r="H23" s="131" t="n"/>
    </row>
    <row r="24" ht="21.75" customHeight="1" s="85">
      <c r="A24" s="113" t="inlineStr">
        <is>
          <t>Variations EF non commentees</t>
        </is>
      </c>
      <c r="B24" s="132">
        <f>COUNTIF('📋 Suspens'!J:J,A24)+COUNTIF('📋 Suspens'!K:K,A24)+COUNTIF('📋 Suspens'!L:L,A24)</f>
        <v/>
      </c>
      <c r="C24" s="115">
        <f>COUNTIFS('📋 Suspens'!J:J,A24,'📋 Suspens'!H:H,"En cours")+COUNTIFS('📋 Suspens'!K:K,A24,'📋 Suspens'!H:H,"En cours")+COUNTIFS('📋 Suspens'!L:L,A24,'📋 Suspens'!H:H,"En cours")</f>
        <v/>
      </c>
      <c r="D24" s="115">
        <f>COUNTIFS('📋 Suspens'!J:J,A24,'📋 Suspens'!H:H,"Cloture")+COUNTIFS('📋 Suspens'!K:K,A24,'📋 Suspens'!H:H,"Cloture")+COUNTIFS('📋 Suspens'!L:L,A24,'📋 Suspens'!H:H,"Cloture")</f>
        <v/>
      </c>
      <c r="E24" s="115">
        <f>COUNTIFS('📋 Suspens'!J:J,A24,'📋 Suspens'!H:H,"En attente")+COUNTIFS('📋 Suspens'!K:K,A24,'📋 Suspens'!H:H,"En attente")+COUNTIFS('📋 Suspens'!L:L,A24,'📋 Suspens'!H:H,"En attente")</f>
        <v/>
      </c>
      <c r="F24" s="133">
        <f>IFERROR(AVERAGEIFS('📋 Suspens'!I:I,'📋 Suspens'!J:J,A24,'📋 Suspens'!H:H,"Cloture"),"")</f>
        <v/>
      </c>
      <c r="G24" s="134">
        <f>IFERROR(B24/SUM($B$5:$B$31),0)</f>
        <v/>
      </c>
      <c r="H24" s="135" t="n"/>
    </row>
    <row r="25" ht="21.75" customHeight="1" s="85">
      <c r="A25" s="120" t="inlineStr">
        <is>
          <t>Absence visibilite maison mere</t>
        </is>
      </c>
      <c r="B25" s="128">
        <f>COUNTIF('📋 Suspens'!J:J,A25)+COUNTIF('📋 Suspens'!K:K,A25)+COUNTIF('📋 Suspens'!L:L,A25)</f>
        <v/>
      </c>
      <c r="C25" s="122">
        <f>COUNTIFS('📋 Suspens'!J:J,A25,'📋 Suspens'!H:H,"En cours")+COUNTIFS('📋 Suspens'!K:K,A25,'📋 Suspens'!H:H,"En cours")+COUNTIFS('📋 Suspens'!L:L,A25,'📋 Suspens'!H:H,"En cours")</f>
        <v/>
      </c>
      <c r="D25" s="122">
        <f>COUNTIFS('📋 Suspens'!J:J,A25,'📋 Suspens'!H:H,"Cloture")+COUNTIFS('📋 Suspens'!K:K,A25,'📋 Suspens'!H:H,"Cloture")+COUNTIFS('📋 Suspens'!L:L,A25,'📋 Suspens'!H:H,"Cloture")</f>
        <v/>
      </c>
      <c r="E25" s="122">
        <f>COUNTIFS('📋 Suspens'!J:J,A25,'📋 Suspens'!H:H,"En attente")+COUNTIFS('📋 Suspens'!K:K,A25,'📋 Suspens'!H:H,"En attente")+COUNTIFS('📋 Suspens'!L:L,A25,'📋 Suspens'!H:H,"En attente")</f>
        <v/>
      </c>
      <c r="F25" s="129">
        <f>IFERROR(AVERAGEIFS('📋 Suspens'!I:I,'📋 Suspens'!J:J,A25,'📋 Suspens'!H:H,"Cloture"),"")</f>
        <v/>
      </c>
      <c r="G25" s="130">
        <f>IFERROR(B25/SUM($B$5:$B$31),0)</f>
        <v/>
      </c>
      <c r="H25" s="131" t="n"/>
    </row>
    <row r="26" ht="21.75" customHeight="1" s="85">
      <c r="A26" s="113" t="inlineStr">
        <is>
          <t>Absence d explication sur les lignes</t>
        </is>
      </c>
      <c r="B26" s="132">
        <f>COUNTIF('📋 Suspens'!J:J,A26)+COUNTIF('📋 Suspens'!K:K,A26)+COUNTIF('📋 Suspens'!L:L,A26)</f>
        <v/>
      </c>
      <c r="C26" s="115">
        <f>COUNTIFS('📋 Suspens'!J:J,A26,'📋 Suspens'!H:H,"En cours")+COUNTIFS('📋 Suspens'!K:K,A26,'📋 Suspens'!H:H,"En cours")+COUNTIFS('📋 Suspens'!L:L,A26,'📋 Suspens'!H:H,"En cours")</f>
        <v/>
      </c>
      <c r="D26" s="115">
        <f>COUNTIFS('📋 Suspens'!J:J,A26,'📋 Suspens'!H:H,"Cloture")+COUNTIFS('📋 Suspens'!K:K,A26,'📋 Suspens'!H:H,"Cloture")+COUNTIFS('📋 Suspens'!L:L,A26,'📋 Suspens'!H:H,"Cloture")</f>
        <v/>
      </c>
      <c r="E26" s="115">
        <f>COUNTIFS('📋 Suspens'!J:J,A26,'📋 Suspens'!H:H,"En attente")+COUNTIFS('📋 Suspens'!K:K,A26,'📋 Suspens'!H:H,"En attente")+COUNTIFS('📋 Suspens'!L:L,A26,'📋 Suspens'!H:H,"En attente")</f>
        <v/>
      </c>
      <c r="F26" s="133">
        <f>IFERROR(AVERAGEIFS('📋 Suspens'!I:I,'📋 Suspens'!J:J,A26,'📋 Suspens'!H:H,"Cloture"),"")</f>
        <v/>
      </c>
      <c r="G26" s="134">
        <f>IFERROR(B26/SUM($B$5:$B$31),0)</f>
        <v/>
      </c>
      <c r="H26" s="135" t="n"/>
    </row>
    <row r="27" ht="21.75" customHeight="1" s="85">
      <c r="A27" s="120" t="inlineStr">
        <is>
          <t>Absence de commentaires reserves</t>
        </is>
      </c>
      <c r="B27" s="128">
        <f>COUNTIF('📋 Suspens'!J:J,A27)+COUNTIF('📋 Suspens'!K:K,A27)+COUNTIF('📋 Suspens'!L:L,A27)</f>
        <v/>
      </c>
      <c r="C27" s="122">
        <f>COUNTIFS('📋 Suspens'!J:J,A27,'📋 Suspens'!H:H,"En cours")+COUNTIFS('📋 Suspens'!K:K,A27,'📋 Suspens'!H:H,"En cours")+COUNTIFS('📋 Suspens'!L:L,A27,'📋 Suspens'!H:H,"En cours")</f>
        <v/>
      </c>
      <c r="D27" s="122">
        <f>COUNTIFS('📋 Suspens'!J:J,A27,'📋 Suspens'!H:H,"Cloture")+COUNTIFS('📋 Suspens'!K:K,A27,'📋 Suspens'!H:H,"Cloture")+COUNTIFS('📋 Suspens'!L:L,A27,'📋 Suspens'!H:H,"Cloture")</f>
        <v/>
      </c>
      <c r="E27" s="122">
        <f>COUNTIFS('📋 Suspens'!J:J,A27,'📋 Suspens'!H:H,"En attente")+COUNTIFS('📋 Suspens'!K:K,A27,'📋 Suspens'!H:H,"En attente")+COUNTIFS('📋 Suspens'!L:L,A27,'📋 Suspens'!H:H,"En attente")</f>
        <v/>
      </c>
      <c r="F27" s="129">
        <f>IFERROR(AVERAGEIFS('📋 Suspens'!I:I,'📋 Suspens'!J:J,A27,'📋 Suspens'!H:H,"Cloture"),"")</f>
        <v/>
      </c>
      <c r="G27" s="130">
        <f>IFERROR(B27/SUM($B$5:$B$31),0)</f>
        <v/>
      </c>
      <c r="H27" s="131" t="n"/>
    </row>
    <row r="28" ht="21.75" customHeight="1" s="85">
      <c r="A28" s="113" t="inlineStr">
        <is>
          <t>Absence hypotheses cash-flow</t>
        </is>
      </c>
      <c r="B28" s="132">
        <f>COUNTIF('📋 Suspens'!J:J,A28)+COUNTIF('📋 Suspens'!K:K,A28)+COUNTIF('📋 Suspens'!L:L,A28)</f>
        <v/>
      </c>
      <c r="C28" s="115">
        <f>COUNTIFS('📋 Suspens'!J:J,A28,'📋 Suspens'!H:H,"En cours")+COUNTIFS('📋 Suspens'!K:K,A28,'📋 Suspens'!H:H,"En cours")+COUNTIFS('📋 Suspens'!L:L,A28,'📋 Suspens'!H:H,"En cours")</f>
        <v/>
      </c>
      <c r="D28" s="115">
        <f>COUNTIFS('📋 Suspens'!J:J,A28,'📋 Suspens'!H:H,"Cloture")+COUNTIFS('📋 Suspens'!K:K,A28,'📋 Suspens'!H:H,"Cloture")+COUNTIFS('📋 Suspens'!L:L,A28,'📋 Suspens'!H:H,"Cloture")</f>
        <v/>
      </c>
      <c r="E28" s="115">
        <f>COUNTIFS('📋 Suspens'!J:J,A28,'📋 Suspens'!H:H,"En attente")+COUNTIFS('📋 Suspens'!K:K,A28,'📋 Suspens'!H:H,"En attente")+COUNTIFS('📋 Suspens'!L:L,A28,'📋 Suspens'!H:H,"En attente")</f>
        <v/>
      </c>
      <c r="F28" s="133">
        <f>IFERROR(AVERAGEIFS('📋 Suspens'!I:I,'📋 Suspens'!J:J,A28,'📋 Suspens'!H:H,"Cloture"),"")</f>
        <v/>
      </c>
      <c r="G28" s="134">
        <f>IFERROR(B28/SUM($B$5:$B$31),0)</f>
        <v/>
      </c>
      <c r="H28" s="135" t="n"/>
    </row>
    <row r="29" ht="21.75" customHeight="1" s="85">
      <c r="A29" s="120" t="inlineStr">
        <is>
          <t>Tableau projections cash-flow absent</t>
        </is>
      </c>
      <c r="B29" s="128">
        <f>COUNTIF('📋 Suspens'!J:J,A29)+COUNTIF('📋 Suspens'!K:K,A29)+COUNTIF('📋 Suspens'!L:L,A29)</f>
        <v/>
      </c>
      <c r="C29" s="122">
        <f>COUNTIFS('📋 Suspens'!J:J,A29,'📋 Suspens'!H:H,"En cours")+COUNTIFS('📋 Suspens'!K:K,A29,'📋 Suspens'!H:H,"En cours")+COUNTIFS('📋 Suspens'!L:L,A29,'📋 Suspens'!H:H,"En cours")</f>
        <v/>
      </c>
      <c r="D29" s="122">
        <f>COUNTIFS('📋 Suspens'!J:J,A29,'📋 Suspens'!H:H,"Cloture")+COUNTIFS('📋 Suspens'!K:K,A29,'📋 Suspens'!H:H,"Cloture")+COUNTIFS('📋 Suspens'!L:L,A29,'📋 Suspens'!H:H,"Cloture")</f>
        <v/>
      </c>
      <c r="E29" s="122">
        <f>COUNTIFS('📋 Suspens'!J:J,A29,'📋 Suspens'!H:H,"En attente")+COUNTIFS('📋 Suspens'!K:K,A29,'📋 Suspens'!H:H,"En attente")+COUNTIFS('📋 Suspens'!L:L,A29,'📋 Suspens'!H:H,"En attente")</f>
        <v/>
      </c>
      <c r="F29" s="129">
        <f>IFERROR(AVERAGEIFS('📋 Suspens'!I:I,'📋 Suspens'!J:J,A29,'📋 Suspens'!H:H,"Cloture"),"")</f>
        <v/>
      </c>
      <c r="G29" s="130">
        <f>IFERROR(B29/SUM($B$5:$B$31),0)</f>
        <v/>
      </c>
      <c r="H29" s="131" t="n"/>
    </row>
    <row r="30" ht="21.75" customHeight="1" s="85">
      <c r="A30" s="113" t="inlineStr">
        <is>
          <t>Non transmission contrats marches</t>
        </is>
      </c>
      <c r="B30" s="132">
        <f>COUNTIF('📋 Suspens'!J:J,A30)+COUNTIF('📋 Suspens'!K:K,A30)+COUNTIF('📋 Suspens'!L:L,A30)</f>
        <v/>
      </c>
      <c r="C30" s="115">
        <f>COUNTIFS('📋 Suspens'!J:J,A30,'📋 Suspens'!H:H,"En cours")+COUNTIFS('📋 Suspens'!K:K,A30,'📋 Suspens'!H:H,"En cours")+COUNTIFS('📋 Suspens'!L:L,A30,'📋 Suspens'!H:H,"En cours")</f>
        <v/>
      </c>
      <c r="D30" s="115">
        <f>COUNTIFS('📋 Suspens'!J:J,A30,'📋 Suspens'!H:H,"Cloture")+COUNTIFS('📋 Suspens'!K:K,A30,'📋 Suspens'!H:H,"Cloture")+COUNTIFS('📋 Suspens'!L:L,A30,'📋 Suspens'!H:H,"Cloture")</f>
        <v/>
      </c>
      <c r="E30" s="115">
        <f>COUNTIFS('📋 Suspens'!J:J,A30,'📋 Suspens'!H:H,"En attente")+COUNTIFS('📋 Suspens'!K:K,A30,'📋 Suspens'!H:H,"En attente")+COUNTIFS('📋 Suspens'!L:L,A30,'📋 Suspens'!H:H,"En attente")</f>
        <v/>
      </c>
      <c r="F30" s="133">
        <f>IFERROR(AVERAGEIFS('📋 Suspens'!I:I,'📋 Suspens'!J:J,A30,'📋 Suspens'!H:H,"Cloture"),"")</f>
        <v/>
      </c>
      <c r="G30" s="134">
        <f>IFERROR(B30/SUM($B$5:$B$31),0)</f>
        <v/>
      </c>
      <c r="H30" s="135" t="n"/>
    </row>
    <row r="31" ht="21.75" customHeight="1" s="85">
      <c r="A31" s="120" t="inlineStr">
        <is>
          <t>Autre</t>
        </is>
      </c>
      <c r="B31" s="128">
        <f>COUNTIF('📋 Suspens'!J:J,A31)+COUNTIF('📋 Suspens'!K:K,A31)+COUNTIF('📋 Suspens'!L:L,A31)</f>
        <v/>
      </c>
      <c r="C31" s="122">
        <f>COUNTIFS('📋 Suspens'!J:J,A31,'📋 Suspens'!H:H,"En cours")+COUNTIFS('📋 Suspens'!K:K,A31,'📋 Suspens'!H:H,"En cours")+COUNTIFS('📋 Suspens'!L:L,A31,'📋 Suspens'!H:H,"En cours")</f>
        <v/>
      </c>
      <c r="D31" s="122">
        <f>COUNTIFS('📋 Suspens'!J:J,A31,'📋 Suspens'!H:H,"Cloture")+COUNTIFS('📋 Suspens'!K:K,A31,'📋 Suspens'!H:H,"Cloture")+COUNTIFS('📋 Suspens'!L:L,A31,'📋 Suspens'!H:H,"Cloture")</f>
        <v/>
      </c>
      <c r="E31" s="122">
        <f>COUNTIFS('📋 Suspens'!J:J,A31,'📋 Suspens'!H:H,"En attente")+COUNTIFS('📋 Suspens'!K:K,A31,'📋 Suspens'!H:H,"En attente")+COUNTIFS('📋 Suspens'!L:L,A31,'📋 Suspens'!H:H,"En attente")</f>
        <v/>
      </c>
      <c r="F31" s="129">
        <f>IFERROR(AVERAGEIFS('📋 Suspens'!I:I,'📋 Suspens'!J:J,A31,'📋 Suspens'!H:H,"Cloture"),"")</f>
        <v/>
      </c>
      <c r="G31" s="130">
        <f>IFERROR(B31/SUM($B$5:$B$31),0)</f>
        <v/>
      </c>
      <c r="H31" s="131" t="n"/>
    </row>
    <row r="32" ht="24.75" customHeight="1" s="85">
      <c r="A32" s="136" t="inlineStr">
        <is>
          <t>TOTAL</t>
        </is>
      </c>
      <c r="B32" s="136">
        <f>SUM(B5:B31)</f>
        <v/>
      </c>
      <c r="C32" s="136">
        <f>SUM(C5:C31)</f>
        <v/>
      </c>
      <c r="D32" s="136">
        <f>SUM(D5:D31)</f>
        <v/>
      </c>
      <c r="E32" s="136">
        <f>SUM(E5:E31)</f>
        <v/>
      </c>
    </row>
    <row r="33" ht="7.5" customHeight="1" s="85"/>
    <row r="34" ht="24.75" customHeight="1" s="85">
      <c r="A34" s="125" t="inlineStr">
        <is>
          <t>SUSPENS PAR ANALYSTE</t>
        </is>
      </c>
    </row>
    <row r="35" ht="21.75" customHeight="1" s="85">
      <c r="A35" s="126" t="inlineStr">
        <is>
          <t>ANALYSTE</t>
        </is>
      </c>
      <c r="B35" s="126" t="inlineStr">
        <is>
          <t>EN COURS</t>
        </is>
      </c>
      <c r="C35" s="126" t="inlineStr">
        <is>
          <t>CLOTURE</t>
        </is>
      </c>
      <c r="D35" s="126" t="inlineStr">
        <is>
          <t>EN ATTENTE</t>
        </is>
      </c>
      <c r="E35" s="126" t="inlineStr">
        <is>
          <t>TOTAL</t>
        </is>
      </c>
      <c r="F35" s="126" t="inlineStr">
        <is>
          <t>DUREE MOY (j)</t>
        </is>
      </c>
      <c r="G35" s="126" t="inlineStr">
        <is>
          <t>DOSSIERS &gt; 30j</t>
        </is>
      </c>
    </row>
    <row r="36" ht="21.75" customHeight="1" s="85">
      <c r="A36" s="120">
        <f>IF('⚙️ Parametres'!C2&lt;&gt;"",'⚙️ Parametres'!C2,"")</f>
        <v/>
      </c>
      <c r="B36" s="122">
        <f>IF(A36&lt;&gt;"",COUNTIFS('📋 Suspens'!E:E,A36,'📋 Suspens'!H:H,"En cours"),"")</f>
        <v/>
      </c>
      <c r="C36" s="122">
        <f>IF(A36&lt;&gt;"",COUNTIFS('📋 Suspens'!E:E,A36,'📋 Suspens'!H:H,"Cloture"),"")</f>
        <v/>
      </c>
      <c r="D36" s="122">
        <f>IF(A36&lt;&gt;"",COUNTIFS('📋 Suspens'!E:E,A36,'📋 Suspens'!H:H,"En attente"),"")</f>
        <v/>
      </c>
      <c r="E36" s="128">
        <f>IF(A36&lt;&gt;"",COUNTIF('📋 Suspens'!E:E,A36),"")</f>
        <v/>
      </c>
      <c r="F36" s="129">
        <f>IFERROR(AVERAGEIFS('📋 Suspens'!I:I,'📋 Suspens'!E:E,A36,'📋 Suspens'!H:H,"Cloture"),"")</f>
        <v/>
      </c>
      <c r="G36" s="122">
        <f>IF(A36&lt;&gt;"",COUNTIFS('📋 Suspens'!E:E,A36,'📋 Suspens'!H:H,"En cours",'📋 Suspens'!I:I,"&gt;30"),"")</f>
        <v/>
      </c>
    </row>
    <row r="37" ht="21.75" customHeight="1" s="85">
      <c r="A37" s="113">
        <f>IF('⚙️ Parametres'!C3&lt;&gt;"",'⚙️ Parametres'!C3,"")</f>
        <v/>
      </c>
      <c r="B37" s="115">
        <f>IF(A37&lt;&gt;"",COUNTIFS('📋 Suspens'!E:E,A37,'📋 Suspens'!H:H,"En cours"),"")</f>
        <v/>
      </c>
      <c r="C37" s="115">
        <f>IF(A37&lt;&gt;"",COUNTIFS('📋 Suspens'!E:E,A37,'📋 Suspens'!H:H,"Cloture"),"")</f>
        <v/>
      </c>
      <c r="D37" s="115">
        <f>IF(A37&lt;&gt;"",COUNTIFS('📋 Suspens'!E:E,A37,'📋 Suspens'!H:H,"En attente"),"")</f>
        <v/>
      </c>
      <c r="E37" s="132">
        <f>IF(A37&lt;&gt;"",COUNTIF('📋 Suspens'!E:E,A37),"")</f>
        <v/>
      </c>
      <c r="F37" s="133">
        <f>IFERROR(AVERAGEIFS('📋 Suspens'!I:I,'📋 Suspens'!E:E,A37,'📋 Suspens'!H:H,"Cloture"),"")</f>
        <v/>
      </c>
      <c r="G37" s="115">
        <f>IF(A37&lt;&gt;"",COUNTIFS('📋 Suspens'!E:E,A37,'📋 Suspens'!H:H,"En cours",'📋 Suspens'!I:I,"&gt;30"),"")</f>
        <v/>
      </c>
    </row>
    <row r="38" ht="21.75" customHeight="1" s="85">
      <c r="A38" s="120">
        <f>IF('⚙️ Parametres'!C4&lt;&gt;"",'⚙️ Parametres'!C4,"")</f>
        <v/>
      </c>
      <c r="B38" s="122">
        <f>IF(A38&lt;&gt;"",COUNTIFS('📋 Suspens'!E:E,A38,'📋 Suspens'!H:H,"En cours"),"")</f>
        <v/>
      </c>
      <c r="C38" s="122">
        <f>IF(A38&lt;&gt;"",COUNTIFS('📋 Suspens'!E:E,A38,'📋 Suspens'!H:H,"Cloture"),"")</f>
        <v/>
      </c>
      <c r="D38" s="122">
        <f>IF(A38&lt;&gt;"",COUNTIFS('📋 Suspens'!E:E,A38,'📋 Suspens'!H:H,"En attente"),"")</f>
        <v/>
      </c>
      <c r="E38" s="128">
        <f>IF(A38&lt;&gt;"",COUNTIF('📋 Suspens'!E:E,A38),"")</f>
        <v/>
      </c>
      <c r="F38" s="129">
        <f>IFERROR(AVERAGEIFS('📋 Suspens'!I:I,'📋 Suspens'!E:E,A38,'📋 Suspens'!H:H,"Cloture"),"")</f>
        <v/>
      </c>
      <c r="G38" s="122">
        <f>IF(A38&lt;&gt;"",COUNTIFS('📋 Suspens'!E:E,A38,'📋 Suspens'!H:H,"En cours",'📋 Suspens'!I:I,"&gt;30"),"")</f>
        <v/>
      </c>
    </row>
    <row r="39" ht="21.75" customHeight="1" s="85">
      <c r="A39" s="113">
        <f>IF('⚙️ Parametres'!C5&lt;&gt;"",'⚙️ Parametres'!C5,"")</f>
        <v/>
      </c>
      <c r="B39" s="115">
        <f>IF(A39&lt;&gt;"",COUNTIFS('📋 Suspens'!E:E,A39,'📋 Suspens'!H:H,"En cours"),"")</f>
        <v/>
      </c>
      <c r="C39" s="115">
        <f>IF(A39&lt;&gt;"",COUNTIFS('📋 Suspens'!E:E,A39,'📋 Suspens'!H:H,"Cloture"),"")</f>
        <v/>
      </c>
      <c r="D39" s="115">
        <f>IF(A39&lt;&gt;"",COUNTIFS('📋 Suspens'!E:E,A39,'📋 Suspens'!H:H,"En attente"),"")</f>
        <v/>
      </c>
      <c r="E39" s="132">
        <f>IF(A39&lt;&gt;"",COUNTIF('📋 Suspens'!E:E,A39),"")</f>
        <v/>
      </c>
      <c r="F39" s="133">
        <f>IFERROR(AVERAGEIFS('📋 Suspens'!I:I,'📋 Suspens'!E:E,A39,'📋 Suspens'!H:H,"Cloture"),"")</f>
        <v/>
      </c>
      <c r="G39" s="115">
        <f>IF(A39&lt;&gt;"",COUNTIFS('📋 Suspens'!E:E,A39,'📋 Suspens'!H:H,"En cours",'📋 Suspens'!I:I,"&gt;30"),"")</f>
        <v/>
      </c>
    </row>
    <row r="40" ht="21.75" customHeight="1" s="85">
      <c r="A40" s="120">
        <f>IF('⚙️ Parametres'!C6&lt;&gt;"",'⚙️ Parametres'!C6,"")</f>
        <v/>
      </c>
      <c r="B40" s="122">
        <f>IF(A40&lt;&gt;"",COUNTIFS('📋 Suspens'!E:E,A40,'📋 Suspens'!H:H,"En cours"),"")</f>
        <v/>
      </c>
      <c r="C40" s="122">
        <f>IF(A40&lt;&gt;"",COUNTIFS('📋 Suspens'!E:E,A40,'📋 Suspens'!H:H,"Cloture"),"")</f>
        <v/>
      </c>
      <c r="D40" s="122">
        <f>IF(A40&lt;&gt;"",COUNTIFS('📋 Suspens'!E:E,A40,'📋 Suspens'!H:H,"En attente"),"")</f>
        <v/>
      </c>
      <c r="E40" s="128">
        <f>IF(A40&lt;&gt;"",COUNTIF('📋 Suspens'!E:E,A40),"")</f>
        <v/>
      </c>
      <c r="F40" s="129">
        <f>IFERROR(AVERAGEIFS('📋 Suspens'!I:I,'📋 Suspens'!E:E,A40,'📋 Suspens'!H:H,"Cloture"),"")</f>
        <v/>
      </c>
      <c r="G40" s="122">
        <f>IF(A40&lt;&gt;"",COUNTIFS('📋 Suspens'!E:E,A40,'📋 Suspens'!H:H,"En cours",'📋 Suspens'!I:I,"&gt;30"),"")</f>
        <v/>
      </c>
    </row>
    <row r="41" ht="21.75" customHeight="1" s="85">
      <c r="A41" s="113">
        <f>IF('⚙️ Parametres'!C7&lt;&gt;"",'⚙️ Parametres'!C7,"")</f>
        <v/>
      </c>
      <c r="B41" s="115">
        <f>IF(A41&lt;&gt;"",COUNTIFS('📋 Suspens'!E:E,A41,'📋 Suspens'!H:H,"En cours"),"")</f>
        <v/>
      </c>
      <c r="C41" s="115">
        <f>IF(A41&lt;&gt;"",COUNTIFS('📋 Suspens'!E:E,A41,'📋 Suspens'!H:H,"Cloture"),"")</f>
        <v/>
      </c>
      <c r="D41" s="115">
        <f>IF(A41&lt;&gt;"",COUNTIFS('📋 Suspens'!E:E,A41,'📋 Suspens'!H:H,"En attente"),"")</f>
        <v/>
      </c>
      <c r="E41" s="132">
        <f>IF(A41&lt;&gt;"",COUNTIF('📋 Suspens'!E:E,A41),"")</f>
        <v/>
      </c>
      <c r="F41" s="133">
        <f>IFERROR(AVERAGEIFS('📋 Suspens'!I:I,'📋 Suspens'!E:E,A41,'📋 Suspens'!H:H,"Cloture"),"")</f>
        <v/>
      </c>
      <c r="G41" s="115">
        <f>IF(A41&lt;&gt;"",COUNTIFS('📋 Suspens'!E:E,A41,'📋 Suspens'!H:H,"En cours",'📋 Suspens'!I:I,"&gt;30"),"")</f>
        <v/>
      </c>
    </row>
    <row r="42" ht="21.75" customHeight="1" s="85">
      <c r="A42" s="120">
        <f>IF('⚙️ Parametres'!C8&lt;&gt;"",'⚙️ Parametres'!C8,"")</f>
        <v/>
      </c>
      <c r="B42" s="122">
        <f>IF(A42&lt;&gt;"",COUNTIFS('📋 Suspens'!E:E,A42,'📋 Suspens'!H:H,"En cours"),"")</f>
        <v/>
      </c>
      <c r="C42" s="122">
        <f>IF(A42&lt;&gt;"",COUNTIFS('📋 Suspens'!E:E,A42,'📋 Suspens'!H:H,"Cloture"),"")</f>
        <v/>
      </c>
      <c r="D42" s="122">
        <f>IF(A42&lt;&gt;"",COUNTIFS('📋 Suspens'!E:E,A42,'📋 Suspens'!H:H,"En attente"),"")</f>
        <v/>
      </c>
      <c r="E42" s="128">
        <f>IF(A42&lt;&gt;"",COUNTIF('📋 Suspens'!E:E,A42),"")</f>
        <v/>
      </c>
      <c r="F42" s="129">
        <f>IFERROR(AVERAGEIFS('📋 Suspens'!I:I,'📋 Suspens'!E:E,A42,'📋 Suspens'!H:H,"Cloture"),"")</f>
        <v/>
      </c>
      <c r="G42" s="122">
        <f>IF(A42&lt;&gt;"",COUNTIFS('📋 Suspens'!E:E,A42,'📋 Suspens'!H:H,"En cours",'📋 Suspens'!I:I,"&gt;30"),"")</f>
        <v/>
      </c>
    </row>
    <row r="43" ht="21.75" customHeight="1" s="85">
      <c r="A43" s="113">
        <f>IF('⚙️ Parametres'!C9&lt;&gt;"",'⚙️ Parametres'!C9,"")</f>
        <v/>
      </c>
      <c r="B43" s="115">
        <f>IF(A43&lt;&gt;"",COUNTIFS('📋 Suspens'!E:E,A43,'📋 Suspens'!H:H,"En cours"),"")</f>
        <v/>
      </c>
      <c r="C43" s="115">
        <f>IF(A43&lt;&gt;"",COUNTIFS('📋 Suspens'!E:E,A43,'📋 Suspens'!H:H,"Cloture"),"")</f>
        <v/>
      </c>
      <c r="D43" s="115">
        <f>IF(A43&lt;&gt;"",COUNTIFS('📋 Suspens'!E:E,A43,'📋 Suspens'!H:H,"En attente"),"")</f>
        <v/>
      </c>
      <c r="E43" s="132">
        <f>IF(A43&lt;&gt;"",COUNTIF('📋 Suspens'!E:E,A43),"")</f>
        <v/>
      </c>
      <c r="F43" s="133">
        <f>IFERROR(AVERAGEIFS('📋 Suspens'!I:I,'📋 Suspens'!E:E,A43,'📋 Suspens'!H:H,"Cloture"),"")</f>
        <v/>
      </c>
      <c r="G43" s="115">
        <f>IF(A43&lt;&gt;"",COUNTIFS('📋 Suspens'!E:E,A43,'📋 Suspens'!H:H,"En cours",'📋 Suspens'!I:I,"&gt;30"),"")</f>
        <v/>
      </c>
    </row>
    <row r="44" ht="21.75" customHeight="1" s="85">
      <c r="A44" s="120">
        <f>IF('⚙️ Parametres'!C10&lt;&gt;"",'⚙️ Parametres'!C10,"")</f>
        <v/>
      </c>
      <c r="B44" s="122">
        <f>IF(A44&lt;&gt;"",COUNTIFS('📋 Suspens'!E:E,A44,'📋 Suspens'!H:H,"En cours"),"")</f>
        <v/>
      </c>
      <c r="C44" s="122">
        <f>IF(A44&lt;&gt;"",COUNTIFS('📋 Suspens'!E:E,A44,'📋 Suspens'!H:H,"Cloture"),"")</f>
        <v/>
      </c>
      <c r="D44" s="122">
        <f>IF(A44&lt;&gt;"",COUNTIFS('📋 Suspens'!E:E,A44,'📋 Suspens'!H:H,"En attente"),"")</f>
        <v/>
      </c>
      <c r="E44" s="128">
        <f>IF(A44&lt;&gt;"",COUNTIF('📋 Suspens'!E:E,A44),"")</f>
        <v/>
      </c>
      <c r="F44" s="129">
        <f>IFERROR(AVERAGEIFS('📋 Suspens'!I:I,'📋 Suspens'!E:E,A44,'📋 Suspens'!H:H,"Cloture"),"")</f>
        <v/>
      </c>
      <c r="G44" s="122">
        <f>IF(A44&lt;&gt;"",COUNTIFS('📋 Suspens'!E:E,A44,'📋 Suspens'!H:H,"En cours",'📋 Suspens'!I:I,"&gt;30"),"")</f>
        <v/>
      </c>
    </row>
    <row r="45" ht="21.75" customHeight="1" s="85">
      <c r="A45" s="113">
        <f>IF('⚙️ Parametres'!C11&lt;&gt;"",'⚙️ Parametres'!C11,"")</f>
        <v/>
      </c>
      <c r="B45" s="115">
        <f>IF(A45&lt;&gt;"",COUNTIFS('📋 Suspens'!E:E,A45,'📋 Suspens'!H:H,"En cours"),"")</f>
        <v/>
      </c>
      <c r="C45" s="115">
        <f>IF(A45&lt;&gt;"",COUNTIFS('📋 Suspens'!E:E,A45,'📋 Suspens'!H:H,"Cloture"),"")</f>
        <v/>
      </c>
      <c r="D45" s="115">
        <f>IF(A45&lt;&gt;"",COUNTIFS('📋 Suspens'!E:E,A45,'📋 Suspens'!H:H,"En attente"),"")</f>
        <v/>
      </c>
      <c r="E45" s="132">
        <f>IF(A45&lt;&gt;"",COUNTIF('📋 Suspens'!E:E,A45),"")</f>
        <v/>
      </c>
      <c r="F45" s="133">
        <f>IFERROR(AVERAGEIFS('📋 Suspens'!I:I,'📋 Suspens'!E:E,A45,'📋 Suspens'!H:H,"Cloture"),"")</f>
        <v/>
      </c>
      <c r="G45" s="115">
        <f>IF(A45&lt;&gt;"",COUNTIFS('📋 Suspens'!E:E,A45,'📋 Suspens'!H:H,"En cours",'📋 Suspens'!I:I,"&gt;30"),"")</f>
        <v/>
      </c>
    </row>
    <row r="46" ht="21.75" customHeight="1" s="85">
      <c r="A46" s="120">
        <f>IF('⚙️ Parametres'!C12&lt;&gt;"",'⚙️ Parametres'!C12,"")</f>
        <v/>
      </c>
      <c r="B46" s="122">
        <f>IF(A46&lt;&gt;"",COUNTIFS('📋 Suspens'!E:E,A46,'📋 Suspens'!H:H,"En cours"),"")</f>
        <v/>
      </c>
      <c r="C46" s="122">
        <f>IF(A46&lt;&gt;"",COUNTIFS('📋 Suspens'!E:E,A46,'📋 Suspens'!H:H,"Cloture"),"")</f>
        <v/>
      </c>
      <c r="D46" s="122">
        <f>IF(A46&lt;&gt;"",COUNTIFS('📋 Suspens'!E:E,A46,'📋 Suspens'!H:H,"En attente"),"")</f>
        <v/>
      </c>
      <c r="E46" s="128">
        <f>IF(A46&lt;&gt;"",COUNTIF('📋 Suspens'!E:E,A46),"")</f>
        <v/>
      </c>
      <c r="F46" s="129">
        <f>IFERROR(AVERAGEIFS('📋 Suspens'!I:I,'📋 Suspens'!E:E,A46,'📋 Suspens'!H:H,"Cloture"),"")</f>
        <v/>
      </c>
      <c r="G46" s="122">
        <f>IF(A46&lt;&gt;"",COUNTIFS('📋 Suspens'!E:E,A46,'📋 Suspens'!H:H,"En cours",'📋 Suspens'!I:I,"&gt;30"),"")</f>
        <v/>
      </c>
    </row>
    <row r="47" ht="21.75" customHeight="1" s="85">
      <c r="A47" s="113">
        <f>IF('⚙️ Parametres'!C13&lt;&gt;"",'⚙️ Parametres'!C13,"")</f>
        <v/>
      </c>
      <c r="B47" s="115">
        <f>IF(A47&lt;&gt;"",COUNTIFS('📋 Suspens'!E:E,A47,'📋 Suspens'!H:H,"En cours"),"")</f>
        <v/>
      </c>
      <c r="C47" s="115">
        <f>IF(A47&lt;&gt;"",COUNTIFS('📋 Suspens'!E:E,A47,'📋 Suspens'!H:H,"Cloture"),"")</f>
        <v/>
      </c>
      <c r="D47" s="115">
        <f>IF(A47&lt;&gt;"",COUNTIFS('📋 Suspens'!E:E,A47,'📋 Suspens'!H:H,"En attente"),"")</f>
        <v/>
      </c>
      <c r="E47" s="132">
        <f>IF(A47&lt;&gt;"",COUNTIF('📋 Suspens'!E:E,A47),"")</f>
        <v/>
      </c>
      <c r="F47" s="133">
        <f>IFERROR(AVERAGEIFS('📋 Suspens'!I:I,'📋 Suspens'!E:E,A47,'📋 Suspens'!H:H,"Cloture"),"")</f>
        <v/>
      </c>
      <c r="G47" s="115">
        <f>IF(A47&lt;&gt;"",COUNTIFS('📋 Suspens'!E:E,A47,'📋 Suspens'!H:H,"En cours",'📋 Suspens'!I:I,"&gt;30"),"")</f>
        <v/>
      </c>
    </row>
    <row r="48" ht="21.75" customHeight="1" s="85">
      <c r="A48" s="120">
        <f>IF('⚙️ Parametres'!C14&lt;&gt;"",'⚙️ Parametres'!C14,"")</f>
        <v/>
      </c>
      <c r="B48" s="122">
        <f>IF(A48&lt;&gt;"",COUNTIFS('📋 Suspens'!E:E,A48,'📋 Suspens'!H:H,"En cours"),"")</f>
        <v/>
      </c>
      <c r="C48" s="122">
        <f>IF(A48&lt;&gt;"",COUNTIFS('📋 Suspens'!E:E,A48,'📋 Suspens'!H:H,"Cloture"),"")</f>
        <v/>
      </c>
      <c r="D48" s="122">
        <f>IF(A48&lt;&gt;"",COUNTIFS('📋 Suspens'!E:E,A48,'📋 Suspens'!H:H,"En attente"),"")</f>
        <v/>
      </c>
      <c r="E48" s="128">
        <f>IF(A48&lt;&gt;"",COUNTIF('📋 Suspens'!E:E,A48),"")</f>
        <v/>
      </c>
      <c r="F48" s="129">
        <f>IFERROR(AVERAGEIFS('📋 Suspens'!I:I,'📋 Suspens'!E:E,A48,'📋 Suspens'!H:H,"Cloture"),"")</f>
        <v/>
      </c>
      <c r="G48" s="122">
        <f>IF(A48&lt;&gt;"",COUNTIFS('📋 Suspens'!E:E,A48,'📋 Suspens'!H:H,"En cours",'📋 Suspens'!I:I,"&gt;30"),"")</f>
        <v/>
      </c>
    </row>
    <row r="49" ht="21.75" customHeight="1" s="85">
      <c r="A49" s="113">
        <f>IF('⚙️ Parametres'!C15&lt;&gt;"",'⚙️ Parametres'!C15,"")</f>
        <v/>
      </c>
      <c r="B49" s="115">
        <f>IF(A49&lt;&gt;"",COUNTIFS('📋 Suspens'!E:E,A49,'📋 Suspens'!H:H,"En cours"),"")</f>
        <v/>
      </c>
      <c r="C49" s="115">
        <f>IF(A49&lt;&gt;"",COUNTIFS('📋 Suspens'!E:E,A49,'📋 Suspens'!H:H,"Cloture"),"")</f>
        <v/>
      </c>
      <c r="D49" s="115">
        <f>IF(A49&lt;&gt;"",COUNTIFS('📋 Suspens'!E:E,A49,'📋 Suspens'!H:H,"En attente"),"")</f>
        <v/>
      </c>
      <c r="E49" s="132">
        <f>IF(A49&lt;&gt;"",COUNTIF('📋 Suspens'!E:E,A49),"")</f>
        <v/>
      </c>
      <c r="F49" s="133">
        <f>IFERROR(AVERAGEIFS('📋 Suspens'!I:I,'📋 Suspens'!E:E,A49,'📋 Suspens'!H:H,"Cloture"),"")</f>
        <v/>
      </c>
      <c r="G49" s="115">
        <f>IF(A49&lt;&gt;"",COUNTIFS('📋 Suspens'!E:E,A49,'📋 Suspens'!H:H,"En cours",'📋 Suspens'!I:I,"&gt;30"),"")</f>
        <v/>
      </c>
    </row>
    <row r="50" ht="21.75" customHeight="1" s="85">
      <c r="A50" s="120">
        <f>IF('⚙️ Parametres'!C16&lt;&gt;"",'⚙️ Parametres'!C16,"")</f>
        <v/>
      </c>
      <c r="B50" s="122">
        <f>IF(A50&lt;&gt;"",COUNTIFS('📋 Suspens'!E:E,A50,'📋 Suspens'!H:H,"En cours"),"")</f>
        <v/>
      </c>
      <c r="C50" s="122">
        <f>IF(A50&lt;&gt;"",COUNTIFS('📋 Suspens'!E:E,A50,'📋 Suspens'!H:H,"Cloture"),"")</f>
        <v/>
      </c>
      <c r="D50" s="122">
        <f>IF(A50&lt;&gt;"",COUNTIFS('📋 Suspens'!E:E,A50,'📋 Suspens'!H:H,"En attente"),"")</f>
        <v/>
      </c>
      <c r="E50" s="128">
        <f>IF(A50&lt;&gt;"",COUNTIF('📋 Suspens'!E:E,A50),"")</f>
        <v/>
      </c>
      <c r="F50" s="129">
        <f>IFERROR(AVERAGEIFS('📋 Suspens'!I:I,'📋 Suspens'!E:E,A50,'📋 Suspens'!H:H,"Cloture"),"")</f>
        <v/>
      </c>
      <c r="G50" s="122">
        <f>IF(A50&lt;&gt;"",COUNTIFS('📋 Suspens'!E:E,A50,'📋 Suspens'!H:H,"En cours",'📋 Suspens'!I:I,"&gt;30"),"")</f>
        <v/>
      </c>
    </row>
    <row r="51" ht="21.75" customHeight="1" s="85">
      <c r="A51" s="113">
        <f>IF('⚙️ Parametres'!C17&lt;&gt;"",'⚙️ Parametres'!C17,"")</f>
        <v/>
      </c>
      <c r="B51" s="115">
        <f>IF(A51&lt;&gt;"",COUNTIFS('📋 Suspens'!E:E,A51,'📋 Suspens'!H:H,"En cours"),"")</f>
        <v/>
      </c>
      <c r="C51" s="115">
        <f>IF(A51&lt;&gt;"",COUNTIFS('📋 Suspens'!E:E,A51,'📋 Suspens'!H:H,"Cloture"),"")</f>
        <v/>
      </c>
      <c r="D51" s="115">
        <f>IF(A51&lt;&gt;"",COUNTIFS('📋 Suspens'!E:E,A51,'📋 Suspens'!H:H,"En attente"),"")</f>
        <v/>
      </c>
      <c r="E51" s="132">
        <f>IF(A51&lt;&gt;"",COUNTIF('📋 Suspens'!E:E,A51),"")</f>
        <v/>
      </c>
      <c r="F51" s="133">
        <f>IFERROR(AVERAGEIFS('📋 Suspens'!I:I,'📋 Suspens'!E:E,A51,'📋 Suspens'!H:H,"Cloture"),"")</f>
        <v/>
      </c>
      <c r="G51" s="115">
        <f>IF(A51&lt;&gt;"",COUNTIFS('📋 Suspens'!E:E,A51,'📋 Suspens'!H:H,"En cours",'📋 Suspens'!I:I,"&gt;30"),"")</f>
        <v/>
      </c>
    </row>
    <row r="52" ht="21.75" customHeight="1" s="85">
      <c r="A52" s="120">
        <f>IF('⚙️ Parametres'!C18&lt;&gt;"",'⚙️ Parametres'!C18,"")</f>
        <v/>
      </c>
      <c r="B52" s="122">
        <f>IF(A52&lt;&gt;"",COUNTIFS('📋 Suspens'!E:E,A52,'📋 Suspens'!H:H,"En cours"),"")</f>
        <v/>
      </c>
      <c r="C52" s="122">
        <f>IF(A52&lt;&gt;"",COUNTIFS('📋 Suspens'!E:E,A52,'📋 Suspens'!H:H,"Cloture"),"")</f>
        <v/>
      </c>
      <c r="D52" s="122">
        <f>IF(A52&lt;&gt;"",COUNTIFS('📋 Suspens'!E:E,A52,'📋 Suspens'!H:H,"En attente"),"")</f>
        <v/>
      </c>
      <c r="E52" s="128">
        <f>IF(A52&lt;&gt;"",COUNTIF('📋 Suspens'!E:E,A52),"")</f>
        <v/>
      </c>
      <c r="F52" s="129">
        <f>IFERROR(AVERAGEIFS('📋 Suspens'!I:I,'📋 Suspens'!E:E,A52,'📋 Suspens'!H:H,"Cloture"),"")</f>
        <v/>
      </c>
      <c r="G52" s="122">
        <f>IF(A52&lt;&gt;"",COUNTIFS('📋 Suspens'!E:E,A52,'📋 Suspens'!H:H,"En cours",'📋 Suspens'!I:I,"&gt;30"),"")</f>
        <v/>
      </c>
    </row>
    <row r="53" ht="21.75" customHeight="1" s="85">
      <c r="A53" s="113">
        <f>IF('⚙️ Parametres'!C19&lt;&gt;"",'⚙️ Parametres'!C19,"")</f>
        <v/>
      </c>
      <c r="B53" s="115">
        <f>IF(A53&lt;&gt;"",COUNTIFS('📋 Suspens'!E:E,A53,'📋 Suspens'!H:H,"En cours"),"")</f>
        <v/>
      </c>
      <c r="C53" s="115">
        <f>IF(A53&lt;&gt;"",COUNTIFS('📋 Suspens'!E:E,A53,'📋 Suspens'!H:H,"Cloture"),"")</f>
        <v/>
      </c>
      <c r="D53" s="115">
        <f>IF(A53&lt;&gt;"",COUNTIFS('📋 Suspens'!E:E,A53,'📋 Suspens'!H:H,"En attente"),"")</f>
        <v/>
      </c>
      <c r="E53" s="132">
        <f>IF(A53&lt;&gt;"",COUNTIF('📋 Suspens'!E:E,A53),"")</f>
        <v/>
      </c>
      <c r="F53" s="133">
        <f>IFERROR(AVERAGEIFS('📋 Suspens'!I:I,'📋 Suspens'!E:E,A53,'📋 Suspens'!H:H,"Cloture"),"")</f>
        <v/>
      </c>
      <c r="G53" s="115">
        <f>IF(A53&lt;&gt;"",COUNTIFS('📋 Suspens'!E:E,A53,'📋 Suspens'!H:H,"En cours",'📋 Suspens'!I:I,"&gt;30"),"")</f>
        <v/>
      </c>
    </row>
    <row r="54" ht="21.75" customHeight="1" s="85">
      <c r="A54" s="120">
        <f>IF('⚙️ Parametres'!C20&lt;&gt;"",'⚙️ Parametres'!C20,"")</f>
        <v/>
      </c>
      <c r="B54" s="122">
        <f>IF(A54&lt;&gt;"",COUNTIFS('📋 Suspens'!E:E,A54,'📋 Suspens'!H:H,"En cours"),"")</f>
        <v/>
      </c>
      <c r="C54" s="122">
        <f>IF(A54&lt;&gt;"",COUNTIFS('📋 Suspens'!E:E,A54,'📋 Suspens'!H:H,"Cloture"),"")</f>
        <v/>
      </c>
      <c r="D54" s="122">
        <f>IF(A54&lt;&gt;"",COUNTIFS('📋 Suspens'!E:E,A54,'📋 Suspens'!H:H,"En attente"),"")</f>
        <v/>
      </c>
      <c r="E54" s="128">
        <f>IF(A54&lt;&gt;"",COUNTIF('📋 Suspens'!E:E,A54),"")</f>
        <v/>
      </c>
      <c r="F54" s="129">
        <f>IFERROR(AVERAGEIFS('📋 Suspens'!I:I,'📋 Suspens'!E:E,A54,'📋 Suspens'!H:H,"Cloture"),"")</f>
        <v/>
      </c>
      <c r="G54" s="122">
        <f>IF(A54&lt;&gt;"",COUNTIFS('📋 Suspens'!E:E,A54,'📋 Suspens'!H:H,"En cours",'📋 Suspens'!I:I,"&gt;30"),"")</f>
        <v/>
      </c>
    </row>
    <row r="55" ht="21.75" customHeight="1" s="85">
      <c r="A55" s="113">
        <f>IF('⚙️ Parametres'!C21&lt;&gt;"",'⚙️ Parametres'!C21,"")</f>
        <v/>
      </c>
      <c r="B55" s="115">
        <f>IF(A55&lt;&gt;"",COUNTIFS('📋 Suspens'!E:E,A55,'📋 Suspens'!H:H,"En cours"),"")</f>
        <v/>
      </c>
      <c r="C55" s="115">
        <f>IF(A55&lt;&gt;"",COUNTIFS('📋 Suspens'!E:E,A55,'📋 Suspens'!H:H,"Cloture"),"")</f>
        <v/>
      </c>
      <c r="D55" s="115">
        <f>IF(A55&lt;&gt;"",COUNTIFS('📋 Suspens'!E:E,A55,'📋 Suspens'!H:H,"En attente"),"")</f>
        <v/>
      </c>
      <c r="E55" s="132">
        <f>IF(A55&lt;&gt;"",COUNTIF('📋 Suspens'!E:E,A55),"")</f>
        <v/>
      </c>
      <c r="F55" s="133">
        <f>IFERROR(AVERAGEIFS('📋 Suspens'!I:I,'📋 Suspens'!E:E,A55,'📋 Suspens'!H:H,"Cloture"),"")</f>
        <v/>
      </c>
      <c r="G55" s="115">
        <f>IF(A55&lt;&gt;"",COUNTIFS('📋 Suspens'!E:E,A55,'📋 Suspens'!H:H,"En cours",'📋 Suspens'!I:I,"&gt;30"),"")</f>
        <v/>
      </c>
    </row>
    <row r="56" ht="21.75" customHeight="1" s="85">
      <c r="A56" s="120">
        <f>IF('⚙️ Parametres'!C22&lt;&gt;"",'⚙️ Parametres'!C22,"")</f>
        <v/>
      </c>
      <c r="B56" s="122">
        <f>IF(A56&lt;&gt;"",COUNTIFS('📋 Suspens'!E:E,A56,'📋 Suspens'!H:H,"En cours"),"")</f>
        <v/>
      </c>
      <c r="C56" s="122">
        <f>IF(A56&lt;&gt;"",COUNTIFS('📋 Suspens'!E:E,A56,'📋 Suspens'!H:H,"Cloture"),"")</f>
        <v/>
      </c>
      <c r="D56" s="122">
        <f>IF(A56&lt;&gt;"",COUNTIFS('📋 Suspens'!E:E,A56,'📋 Suspens'!H:H,"En attente"),"")</f>
        <v/>
      </c>
      <c r="E56" s="128">
        <f>IF(A56&lt;&gt;"",COUNTIF('📋 Suspens'!E:E,A56),"")</f>
        <v/>
      </c>
      <c r="F56" s="129">
        <f>IFERROR(AVERAGEIFS('📋 Suspens'!I:I,'📋 Suspens'!E:E,A56,'📋 Suspens'!H:H,"Cloture"),"")</f>
        <v/>
      </c>
      <c r="G56" s="122">
        <f>IF(A56&lt;&gt;"",COUNTIFS('📋 Suspens'!E:E,A56,'📋 Suspens'!H:H,"En cours",'📋 Suspens'!I:I,"&gt;30"),"")</f>
        <v/>
      </c>
    </row>
    <row r="57" ht="21.75" customHeight="1" s="85">
      <c r="A57" s="113">
        <f>IF('⚙️ Parametres'!C23&lt;&gt;"",'⚙️ Parametres'!C23,"")</f>
        <v/>
      </c>
      <c r="B57" s="115">
        <f>IF(A57&lt;&gt;"",COUNTIFS('📋 Suspens'!E:E,A57,'📋 Suspens'!H:H,"En cours"),"")</f>
        <v/>
      </c>
      <c r="C57" s="115">
        <f>IF(A57&lt;&gt;"",COUNTIFS('📋 Suspens'!E:E,A57,'📋 Suspens'!H:H,"Cloture"),"")</f>
        <v/>
      </c>
      <c r="D57" s="115">
        <f>IF(A57&lt;&gt;"",COUNTIFS('📋 Suspens'!E:E,A57,'📋 Suspens'!H:H,"En attente"),"")</f>
        <v/>
      </c>
      <c r="E57" s="132">
        <f>IF(A57&lt;&gt;"",COUNTIF('📋 Suspens'!E:E,A57),"")</f>
        <v/>
      </c>
      <c r="F57" s="133">
        <f>IFERROR(AVERAGEIFS('📋 Suspens'!I:I,'📋 Suspens'!E:E,A57,'📋 Suspens'!H:H,"Cloture"),"")</f>
        <v/>
      </c>
      <c r="G57" s="115">
        <f>IF(A57&lt;&gt;"",COUNTIFS('📋 Suspens'!E:E,A57,'📋 Suspens'!H:H,"En cours",'📋 Suspens'!I:I,"&gt;30"),"")</f>
        <v/>
      </c>
    </row>
    <row r="58" ht="21.75" customHeight="1" s="85">
      <c r="A58" s="120">
        <f>IF('⚙️ Parametres'!C24&lt;&gt;"",'⚙️ Parametres'!C24,"")</f>
        <v/>
      </c>
      <c r="B58" s="122">
        <f>IF(A58&lt;&gt;"",COUNTIFS('📋 Suspens'!E:E,A58,'📋 Suspens'!H:H,"En cours"),"")</f>
        <v/>
      </c>
      <c r="C58" s="122">
        <f>IF(A58&lt;&gt;"",COUNTIFS('📋 Suspens'!E:E,A58,'📋 Suspens'!H:H,"Cloture"),"")</f>
        <v/>
      </c>
      <c r="D58" s="122">
        <f>IF(A58&lt;&gt;"",COUNTIFS('📋 Suspens'!E:E,A58,'📋 Suspens'!H:H,"En attente"),"")</f>
        <v/>
      </c>
      <c r="E58" s="128">
        <f>IF(A58&lt;&gt;"",COUNTIF('📋 Suspens'!E:E,A58),"")</f>
        <v/>
      </c>
      <c r="F58" s="129">
        <f>IFERROR(AVERAGEIFS('📋 Suspens'!I:I,'📋 Suspens'!E:E,A58,'📋 Suspens'!H:H,"Cloture"),"")</f>
        <v/>
      </c>
      <c r="G58" s="122">
        <f>IF(A58&lt;&gt;"",COUNTIFS('📋 Suspens'!E:E,A58,'📋 Suspens'!H:H,"En cours",'📋 Suspens'!I:I,"&gt;30"),"")</f>
        <v/>
      </c>
    </row>
    <row r="59" ht="21.75" customHeight="1" s="85">
      <c r="A59" s="113">
        <f>IF('⚙️ Parametres'!C25&lt;&gt;"",'⚙️ Parametres'!C25,"")</f>
        <v/>
      </c>
      <c r="B59" s="115">
        <f>IF(A59&lt;&gt;"",COUNTIFS('📋 Suspens'!E:E,A59,'📋 Suspens'!H:H,"En cours"),"")</f>
        <v/>
      </c>
      <c r="C59" s="115">
        <f>IF(A59&lt;&gt;"",COUNTIFS('📋 Suspens'!E:E,A59,'📋 Suspens'!H:H,"Cloture"),"")</f>
        <v/>
      </c>
      <c r="D59" s="115">
        <f>IF(A59&lt;&gt;"",COUNTIFS('📋 Suspens'!E:E,A59,'📋 Suspens'!H:H,"En attente"),"")</f>
        <v/>
      </c>
      <c r="E59" s="132">
        <f>IF(A59&lt;&gt;"",COUNTIF('📋 Suspens'!E:E,A59),"")</f>
        <v/>
      </c>
      <c r="F59" s="133">
        <f>IFERROR(AVERAGEIFS('📋 Suspens'!I:I,'📋 Suspens'!E:E,A59,'📋 Suspens'!H:H,"Cloture"),"")</f>
        <v/>
      </c>
      <c r="G59" s="115">
        <f>IF(A59&lt;&gt;"",COUNTIFS('📋 Suspens'!E:E,A59,'📋 Suspens'!H:H,"En cours",'📋 Suspens'!I:I,"&gt;30"),"")</f>
        <v/>
      </c>
    </row>
    <row r="60" ht="21.75" customHeight="1" s="85">
      <c r="A60" s="120">
        <f>IF('⚙️ Parametres'!C26&lt;&gt;"",'⚙️ Parametres'!C26,"")</f>
        <v/>
      </c>
      <c r="B60" s="122">
        <f>IF(A60&lt;&gt;"",COUNTIFS('📋 Suspens'!E:E,A60,'📋 Suspens'!H:H,"En cours"),"")</f>
        <v/>
      </c>
      <c r="C60" s="122">
        <f>IF(A60&lt;&gt;"",COUNTIFS('📋 Suspens'!E:E,A60,'📋 Suspens'!H:H,"Cloture"),"")</f>
        <v/>
      </c>
      <c r="D60" s="122">
        <f>IF(A60&lt;&gt;"",COUNTIFS('📋 Suspens'!E:E,A60,'📋 Suspens'!H:H,"En attente"),"")</f>
        <v/>
      </c>
      <c r="E60" s="128">
        <f>IF(A60&lt;&gt;"",COUNTIF('📋 Suspens'!E:E,A60),"")</f>
        <v/>
      </c>
      <c r="F60" s="129">
        <f>IFERROR(AVERAGEIFS('📋 Suspens'!I:I,'📋 Suspens'!E:E,A60,'📋 Suspens'!H:H,"Cloture"),"")</f>
        <v/>
      </c>
      <c r="G60" s="122">
        <f>IF(A60&lt;&gt;"",COUNTIFS('📋 Suspens'!E:E,A60,'📋 Suspens'!H:H,"En cours",'📋 Suspens'!I:I,"&gt;30"),"")</f>
        <v/>
      </c>
    </row>
    <row r="61" ht="21.75" customHeight="1" s="85">
      <c r="A61" s="113">
        <f>IF('⚙️ Parametres'!C27&lt;&gt;"",'⚙️ Parametres'!C27,"")</f>
        <v/>
      </c>
      <c r="B61" s="115">
        <f>IF(A61&lt;&gt;"",COUNTIFS('📋 Suspens'!E:E,A61,'📋 Suspens'!H:H,"En cours"),"")</f>
        <v/>
      </c>
      <c r="C61" s="115">
        <f>IF(A61&lt;&gt;"",COUNTIFS('📋 Suspens'!E:E,A61,'📋 Suspens'!H:H,"Cloture"),"")</f>
        <v/>
      </c>
      <c r="D61" s="115">
        <f>IF(A61&lt;&gt;"",COUNTIFS('📋 Suspens'!E:E,A61,'📋 Suspens'!H:H,"En attente"),"")</f>
        <v/>
      </c>
      <c r="E61" s="132">
        <f>IF(A61&lt;&gt;"",COUNTIF('📋 Suspens'!E:E,A61),"")</f>
        <v/>
      </c>
      <c r="F61" s="133">
        <f>IFERROR(AVERAGEIFS('📋 Suspens'!I:I,'📋 Suspens'!E:E,A61,'📋 Suspens'!H:H,"Cloture"),"")</f>
        <v/>
      </c>
      <c r="G61" s="115">
        <f>IF(A61&lt;&gt;"",COUNTIFS('📋 Suspens'!E:E,A61,'📋 Suspens'!H:H,"En cours",'📋 Suspens'!I:I,"&gt;30"),"")</f>
        <v/>
      </c>
    </row>
    <row r="62" ht="21.75" customHeight="1" s="85">
      <c r="A62" s="120">
        <f>IF('⚙️ Parametres'!C28&lt;&gt;"",'⚙️ Parametres'!C28,"")</f>
        <v/>
      </c>
      <c r="B62" s="122">
        <f>IF(A62&lt;&gt;"",COUNTIFS('📋 Suspens'!E:E,A62,'📋 Suspens'!H:H,"En cours"),"")</f>
        <v/>
      </c>
      <c r="C62" s="122">
        <f>IF(A62&lt;&gt;"",COUNTIFS('📋 Suspens'!E:E,A62,'📋 Suspens'!H:H,"Cloture"),"")</f>
        <v/>
      </c>
      <c r="D62" s="122">
        <f>IF(A62&lt;&gt;"",COUNTIFS('📋 Suspens'!E:E,A62,'📋 Suspens'!H:H,"En attente"),"")</f>
        <v/>
      </c>
      <c r="E62" s="128">
        <f>IF(A62&lt;&gt;"",COUNTIF('📋 Suspens'!E:E,A62),"")</f>
        <v/>
      </c>
      <c r="F62" s="129">
        <f>IFERROR(AVERAGEIFS('📋 Suspens'!I:I,'📋 Suspens'!E:E,A62,'📋 Suspens'!H:H,"Cloture"),"")</f>
        <v/>
      </c>
      <c r="G62" s="122">
        <f>IF(A62&lt;&gt;"",COUNTIFS('📋 Suspens'!E:E,A62,'📋 Suspens'!H:H,"En cours",'📋 Suspens'!I:I,"&gt;30"),"")</f>
        <v/>
      </c>
    </row>
    <row r="63" ht="21.75" customHeight="1" s="85">
      <c r="A63" s="113">
        <f>IF('⚙️ Parametres'!C29&lt;&gt;"",'⚙️ Parametres'!C29,"")</f>
        <v/>
      </c>
      <c r="B63" s="115">
        <f>IF(A63&lt;&gt;"",COUNTIFS('📋 Suspens'!E:E,A63,'📋 Suspens'!H:H,"En cours"),"")</f>
        <v/>
      </c>
      <c r="C63" s="115">
        <f>IF(A63&lt;&gt;"",COUNTIFS('📋 Suspens'!E:E,A63,'📋 Suspens'!H:H,"Cloture"),"")</f>
        <v/>
      </c>
      <c r="D63" s="115">
        <f>IF(A63&lt;&gt;"",COUNTIFS('📋 Suspens'!E:E,A63,'📋 Suspens'!H:H,"En attente"),"")</f>
        <v/>
      </c>
      <c r="E63" s="132">
        <f>IF(A63&lt;&gt;"",COUNTIF('📋 Suspens'!E:E,A63),"")</f>
        <v/>
      </c>
      <c r="F63" s="133">
        <f>IFERROR(AVERAGEIFS('📋 Suspens'!I:I,'📋 Suspens'!E:E,A63,'📋 Suspens'!H:H,"Cloture"),"")</f>
        <v/>
      </c>
      <c r="G63" s="115">
        <f>IF(A63&lt;&gt;"",COUNTIFS('📋 Suspens'!E:E,A63,'📋 Suspens'!H:H,"En cours",'📋 Suspens'!I:I,"&gt;30"),"")</f>
        <v/>
      </c>
    </row>
    <row r="64" ht="21.75" customHeight="1" s="85">
      <c r="A64" s="120">
        <f>IF('⚙️ Parametres'!C30&lt;&gt;"",'⚙️ Parametres'!C30,"")</f>
        <v/>
      </c>
      <c r="B64" s="122">
        <f>IF(A64&lt;&gt;"",COUNTIFS('📋 Suspens'!E:E,A64,'📋 Suspens'!H:H,"En cours"),"")</f>
        <v/>
      </c>
      <c r="C64" s="122">
        <f>IF(A64&lt;&gt;"",COUNTIFS('📋 Suspens'!E:E,A64,'📋 Suspens'!H:H,"Cloture"),"")</f>
        <v/>
      </c>
      <c r="D64" s="122">
        <f>IF(A64&lt;&gt;"",COUNTIFS('📋 Suspens'!E:E,A64,'📋 Suspens'!H:H,"En attente"),"")</f>
        <v/>
      </c>
      <c r="E64" s="128">
        <f>IF(A64&lt;&gt;"",COUNTIF('📋 Suspens'!E:E,A64),"")</f>
        <v/>
      </c>
      <c r="F64" s="129">
        <f>IFERROR(AVERAGEIFS('📋 Suspens'!I:I,'📋 Suspens'!E:E,A64,'📋 Suspens'!H:H,"Cloture"),"")</f>
        <v/>
      </c>
      <c r="G64" s="122">
        <f>IF(A64&lt;&gt;"",COUNTIFS('📋 Suspens'!E:E,A64,'📋 Suspens'!H:H,"En cours",'📋 Suspens'!I:I,"&gt;30"),"")</f>
        <v/>
      </c>
    </row>
    <row r="65" ht="21.75" customHeight="1" s="85">
      <c r="A65" s="113">
        <f>IF('⚙️ Parametres'!C31&lt;&gt;"",'⚙️ Parametres'!C31,"")</f>
        <v/>
      </c>
      <c r="B65" s="115">
        <f>IF(A65&lt;&gt;"",COUNTIFS('📋 Suspens'!E:E,A65,'📋 Suspens'!H:H,"En cours"),"")</f>
        <v/>
      </c>
      <c r="C65" s="115">
        <f>IF(A65&lt;&gt;"",COUNTIFS('📋 Suspens'!E:E,A65,'📋 Suspens'!H:H,"Cloture"),"")</f>
        <v/>
      </c>
      <c r="D65" s="115">
        <f>IF(A65&lt;&gt;"",COUNTIFS('📋 Suspens'!E:E,A65,'📋 Suspens'!H:H,"En attente"),"")</f>
        <v/>
      </c>
      <c r="E65" s="132">
        <f>IF(A65&lt;&gt;"",COUNTIF('📋 Suspens'!E:E,A65),"")</f>
        <v/>
      </c>
      <c r="F65" s="133">
        <f>IFERROR(AVERAGEIFS('📋 Suspens'!I:I,'📋 Suspens'!E:E,A65,'📋 Suspens'!H:H,"Cloture"),"")</f>
        <v/>
      </c>
      <c r="G65" s="115">
        <f>IF(A65&lt;&gt;"",COUNTIFS('📋 Suspens'!E:E,A65,'📋 Suspens'!H:H,"En cours",'📋 Suspens'!I:I,"&gt;30"),"")</f>
        <v/>
      </c>
    </row>
    <row r="66" ht="21.75" customHeight="1" s="85">
      <c r="A66" s="120">
        <f>IF('⚙️ Parametres'!C32&lt;&gt;"",'⚙️ Parametres'!C32,"")</f>
        <v/>
      </c>
      <c r="B66" s="122">
        <f>IF(A66&lt;&gt;"",COUNTIFS('📋 Suspens'!E:E,A66,'📋 Suspens'!H:H,"En cours"),"")</f>
        <v/>
      </c>
      <c r="C66" s="122">
        <f>IF(A66&lt;&gt;"",COUNTIFS('📋 Suspens'!E:E,A66,'📋 Suspens'!H:H,"Cloture"),"")</f>
        <v/>
      </c>
      <c r="D66" s="122">
        <f>IF(A66&lt;&gt;"",COUNTIFS('📋 Suspens'!E:E,A66,'📋 Suspens'!H:H,"En attente"),"")</f>
        <v/>
      </c>
      <c r="E66" s="128">
        <f>IF(A66&lt;&gt;"",COUNTIF('📋 Suspens'!E:E,A66),"")</f>
        <v/>
      </c>
      <c r="F66" s="129">
        <f>IFERROR(AVERAGEIFS('📋 Suspens'!I:I,'📋 Suspens'!E:E,A66,'📋 Suspens'!H:H,"Cloture"),"")</f>
        <v/>
      </c>
      <c r="G66" s="122">
        <f>IF(A66&lt;&gt;"",COUNTIFS('📋 Suspens'!E:E,A66,'📋 Suspens'!H:H,"En cours",'📋 Suspens'!I:I,"&gt;30"),"")</f>
        <v/>
      </c>
    </row>
    <row r="67" ht="21.75" customHeight="1" s="85">
      <c r="A67" s="113">
        <f>IF('⚙️ Parametres'!C33&lt;&gt;"",'⚙️ Parametres'!C33,"")</f>
        <v/>
      </c>
      <c r="B67" s="115">
        <f>IF(A67&lt;&gt;"",COUNTIFS('📋 Suspens'!E:E,A67,'📋 Suspens'!H:H,"En cours"),"")</f>
        <v/>
      </c>
      <c r="C67" s="115">
        <f>IF(A67&lt;&gt;"",COUNTIFS('📋 Suspens'!E:E,A67,'📋 Suspens'!H:H,"Cloture"),"")</f>
        <v/>
      </c>
      <c r="D67" s="115">
        <f>IF(A67&lt;&gt;"",COUNTIFS('📋 Suspens'!E:E,A67,'📋 Suspens'!H:H,"En attente"),"")</f>
        <v/>
      </c>
      <c r="E67" s="132">
        <f>IF(A67&lt;&gt;"",COUNTIF('📋 Suspens'!E:E,A67),"")</f>
        <v/>
      </c>
      <c r="F67" s="133">
        <f>IFERROR(AVERAGEIFS('📋 Suspens'!I:I,'📋 Suspens'!E:E,A67,'📋 Suspens'!H:H,"Cloture"),"")</f>
        <v/>
      </c>
      <c r="G67" s="115">
        <f>IF(A67&lt;&gt;"",COUNTIFS('📋 Suspens'!E:E,A67,'📋 Suspens'!H:H,"En cours",'📋 Suspens'!I:I,"&gt;30"),"")</f>
        <v/>
      </c>
    </row>
    <row r="68" ht="21.75" customHeight="1" s="85">
      <c r="A68" s="120">
        <f>IF('⚙️ Parametres'!C34&lt;&gt;"",'⚙️ Parametres'!C34,"")</f>
        <v/>
      </c>
      <c r="B68" s="122">
        <f>IF(A68&lt;&gt;"",COUNTIFS('📋 Suspens'!E:E,A68,'📋 Suspens'!H:H,"En cours"),"")</f>
        <v/>
      </c>
      <c r="C68" s="122">
        <f>IF(A68&lt;&gt;"",COUNTIFS('📋 Suspens'!E:E,A68,'📋 Suspens'!H:H,"Cloture"),"")</f>
        <v/>
      </c>
      <c r="D68" s="122">
        <f>IF(A68&lt;&gt;"",COUNTIFS('📋 Suspens'!E:E,A68,'📋 Suspens'!H:H,"En attente"),"")</f>
        <v/>
      </c>
      <c r="E68" s="128">
        <f>IF(A68&lt;&gt;"",COUNTIF('📋 Suspens'!E:E,A68),"")</f>
        <v/>
      </c>
      <c r="F68" s="129">
        <f>IFERROR(AVERAGEIFS('📋 Suspens'!I:I,'📋 Suspens'!E:E,A68,'📋 Suspens'!H:H,"Cloture"),"")</f>
        <v/>
      </c>
      <c r="G68" s="122">
        <f>IF(A68&lt;&gt;"",COUNTIFS('📋 Suspens'!E:E,A68,'📋 Suspens'!H:H,"En cours",'📋 Suspens'!I:I,"&gt;30"),"")</f>
        <v/>
      </c>
    </row>
    <row r="69" ht="21.75" customHeight="1" s="85">
      <c r="A69" s="113">
        <f>IF('⚙️ Parametres'!C35&lt;&gt;"",'⚙️ Parametres'!C35,"")</f>
        <v/>
      </c>
      <c r="B69" s="115">
        <f>IF(A69&lt;&gt;"",COUNTIFS('📋 Suspens'!E:E,A69,'📋 Suspens'!H:H,"En cours"),"")</f>
        <v/>
      </c>
      <c r="C69" s="115">
        <f>IF(A69&lt;&gt;"",COUNTIFS('📋 Suspens'!E:E,A69,'📋 Suspens'!H:H,"Cloture"),"")</f>
        <v/>
      </c>
      <c r="D69" s="115">
        <f>IF(A69&lt;&gt;"",COUNTIFS('📋 Suspens'!E:E,A69,'📋 Suspens'!H:H,"En attente"),"")</f>
        <v/>
      </c>
      <c r="E69" s="132">
        <f>IF(A69&lt;&gt;"",COUNTIF('📋 Suspens'!E:E,A69),"")</f>
        <v/>
      </c>
      <c r="F69" s="133">
        <f>IFERROR(AVERAGEIFS('📋 Suspens'!I:I,'📋 Suspens'!E:E,A69,'📋 Suspens'!H:H,"Cloture"),"")</f>
        <v/>
      </c>
      <c r="G69" s="115">
        <f>IF(A69&lt;&gt;"",COUNTIFS('📋 Suspens'!E:E,A69,'📋 Suspens'!H:H,"En cours",'📋 Suspens'!I:I,"&gt;30"),"")</f>
        <v/>
      </c>
    </row>
    <row r="70" ht="21.75" customHeight="1" s="85">
      <c r="A70" s="120">
        <f>IF('⚙️ Parametres'!C36&lt;&gt;"",'⚙️ Parametres'!C36,"")</f>
        <v/>
      </c>
      <c r="B70" s="122">
        <f>IF(A70&lt;&gt;"",COUNTIFS('📋 Suspens'!E:E,A70,'📋 Suspens'!H:H,"En cours"),"")</f>
        <v/>
      </c>
      <c r="C70" s="122">
        <f>IF(A70&lt;&gt;"",COUNTIFS('📋 Suspens'!E:E,A70,'📋 Suspens'!H:H,"Cloture"),"")</f>
        <v/>
      </c>
      <c r="D70" s="122">
        <f>IF(A70&lt;&gt;"",COUNTIFS('📋 Suspens'!E:E,A70,'📋 Suspens'!H:H,"En attente"),"")</f>
        <v/>
      </c>
      <c r="E70" s="128">
        <f>IF(A70&lt;&gt;"",COUNTIF('📋 Suspens'!E:E,A70),"")</f>
        <v/>
      </c>
      <c r="F70" s="129">
        <f>IFERROR(AVERAGEIFS('📋 Suspens'!I:I,'📋 Suspens'!E:E,A70,'📋 Suspens'!H:H,"Cloture"),"")</f>
        <v/>
      </c>
      <c r="G70" s="122">
        <f>IF(A70&lt;&gt;"",COUNTIFS('📋 Suspens'!E:E,A70,'📋 Suspens'!H:H,"En cours",'📋 Suspens'!I:I,"&gt;30"),"")</f>
        <v/>
      </c>
    </row>
    <row r="71" ht="21.75" customHeight="1" s="85">
      <c r="A71" s="113">
        <f>IF('⚙️ Parametres'!C37&lt;&gt;"",'⚙️ Parametres'!C37,"")</f>
        <v/>
      </c>
      <c r="B71" s="115">
        <f>IF(A71&lt;&gt;"",COUNTIFS('📋 Suspens'!E:E,A71,'📋 Suspens'!H:H,"En cours"),"")</f>
        <v/>
      </c>
      <c r="C71" s="115">
        <f>IF(A71&lt;&gt;"",COUNTIFS('📋 Suspens'!E:E,A71,'📋 Suspens'!H:H,"Cloture"),"")</f>
        <v/>
      </c>
      <c r="D71" s="115">
        <f>IF(A71&lt;&gt;"",COUNTIFS('📋 Suspens'!E:E,A71,'📋 Suspens'!H:H,"En attente"),"")</f>
        <v/>
      </c>
      <c r="E71" s="132">
        <f>IF(A71&lt;&gt;"",COUNTIF('📋 Suspens'!E:E,A71),"")</f>
        <v/>
      </c>
      <c r="F71" s="133">
        <f>IFERROR(AVERAGEIFS('📋 Suspens'!I:I,'📋 Suspens'!E:E,A71,'📋 Suspens'!H:H,"Cloture"),"")</f>
        <v/>
      </c>
      <c r="G71" s="115">
        <f>IF(A71&lt;&gt;"",COUNTIFS('📋 Suspens'!E:E,A71,'📋 Suspens'!H:H,"En cours",'📋 Suspens'!I:I,"&gt;30"),"")</f>
        <v/>
      </c>
    </row>
    <row r="72" ht="21.75" customHeight="1" s="85">
      <c r="A72" s="120">
        <f>IF('⚙️ Parametres'!C38&lt;&gt;"",'⚙️ Parametres'!C38,"")</f>
        <v/>
      </c>
      <c r="B72" s="122">
        <f>IF(A72&lt;&gt;"",COUNTIFS('📋 Suspens'!E:E,A72,'📋 Suspens'!H:H,"En cours"),"")</f>
        <v/>
      </c>
      <c r="C72" s="122">
        <f>IF(A72&lt;&gt;"",COUNTIFS('📋 Suspens'!E:E,A72,'📋 Suspens'!H:H,"Cloture"),"")</f>
        <v/>
      </c>
      <c r="D72" s="122">
        <f>IF(A72&lt;&gt;"",COUNTIFS('📋 Suspens'!E:E,A72,'📋 Suspens'!H:H,"En attente"),"")</f>
        <v/>
      </c>
      <c r="E72" s="128">
        <f>IF(A72&lt;&gt;"",COUNTIF('📋 Suspens'!E:E,A72),"")</f>
        <v/>
      </c>
      <c r="F72" s="129">
        <f>IFERROR(AVERAGEIFS('📋 Suspens'!I:I,'📋 Suspens'!E:E,A72,'📋 Suspens'!H:H,"Cloture"),"")</f>
        <v/>
      </c>
      <c r="G72" s="122">
        <f>IF(A72&lt;&gt;"",COUNTIFS('📋 Suspens'!E:E,A72,'📋 Suspens'!H:H,"En cours",'📋 Suspens'!I:I,"&gt;30"),"")</f>
        <v/>
      </c>
    </row>
    <row r="73" ht="21.75" customHeight="1" s="85">
      <c r="A73" s="113">
        <f>IF('⚙️ Parametres'!C39&lt;&gt;"",'⚙️ Parametres'!C39,"")</f>
        <v/>
      </c>
      <c r="B73" s="115">
        <f>IF(A73&lt;&gt;"",COUNTIFS('📋 Suspens'!E:E,A73,'📋 Suspens'!H:H,"En cours"),"")</f>
        <v/>
      </c>
      <c r="C73" s="115">
        <f>IF(A73&lt;&gt;"",COUNTIFS('📋 Suspens'!E:E,A73,'📋 Suspens'!H:H,"Cloture"),"")</f>
        <v/>
      </c>
      <c r="D73" s="115">
        <f>IF(A73&lt;&gt;"",COUNTIFS('📋 Suspens'!E:E,A73,'📋 Suspens'!H:H,"En attente"),"")</f>
        <v/>
      </c>
      <c r="E73" s="132">
        <f>IF(A73&lt;&gt;"",COUNTIF('📋 Suspens'!E:E,A73),"")</f>
        <v/>
      </c>
      <c r="F73" s="133">
        <f>IFERROR(AVERAGEIFS('📋 Suspens'!I:I,'📋 Suspens'!E:E,A73,'📋 Suspens'!H:H,"Cloture"),"")</f>
        <v/>
      </c>
      <c r="G73" s="115">
        <f>IF(A73&lt;&gt;"",COUNTIFS('📋 Suspens'!E:E,A73,'📋 Suspens'!H:H,"En cours",'📋 Suspens'!I:I,"&gt;30"),"")</f>
        <v/>
      </c>
    </row>
    <row r="74" ht="21.75" customHeight="1" s="85">
      <c r="A74" s="120">
        <f>IF('⚙️ Parametres'!C40&lt;&gt;"",'⚙️ Parametres'!C40,"")</f>
        <v/>
      </c>
      <c r="B74" s="122">
        <f>IF(A74&lt;&gt;"",COUNTIFS('📋 Suspens'!E:E,A74,'📋 Suspens'!H:H,"En cours"),"")</f>
        <v/>
      </c>
      <c r="C74" s="122">
        <f>IF(A74&lt;&gt;"",COUNTIFS('📋 Suspens'!E:E,A74,'📋 Suspens'!H:H,"Cloture"),"")</f>
        <v/>
      </c>
      <c r="D74" s="122">
        <f>IF(A74&lt;&gt;"",COUNTIFS('📋 Suspens'!E:E,A74,'📋 Suspens'!H:H,"En attente"),"")</f>
        <v/>
      </c>
      <c r="E74" s="128">
        <f>IF(A74&lt;&gt;"",COUNTIF('📋 Suspens'!E:E,A74),"")</f>
        <v/>
      </c>
      <c r="F74" s="129">
        <f>IFERROR(AVERAGEIFS('📋 Suspens'!I:I,'📋 Suspens'!E:E,A74,'📋 Suspens'!H:H,"Cloture"),"")</f>
        <v/>
      </c>
      <c r="G74" s="122">
        <f>IF(A74&lt;&gt;"",COUNTIFS('📋 Suspens'!E:E,A74,'📋 Suspens'!H:H,"En cours",'📋 Suspens'!I:I,"&gt;30"),"")</f>
        <v/>
      </c>
    </row>
    <row r="75" ht="21.75" customHeight="1" s="85">
      <c r="A75" s="113">
        <f>IF('⚙️ Parametres'!C41&lt;&gt;"",'⚙️ Parametres'!C41,"")</f>
        <v/>
      </c>
      <c r="B75" s="115">
        <f>IF(A75&lt;&gt;"",COUNTIFS('📋 Suspens'!E:E,A75,'📋 Suspens'!H:H,"En cours"),"")</f>
        <v/>
      </c>
      <c r="C75" s="115">
        <f>IF(A75&lt;&gt;"",COUNTIFS('📋 Suspens'!E:E,A75,'📋 Suspens'!H:H,"Cloture"),"")</f>
        <v/>
      </c>
      <c r="D75" s="115">
        <f>IF(A75&lt;&gt;"",COUNTIFS('📋 Suspens'!E:E,A75,'📋 Suspens'!H:H,"En attente"),"")</f>
        <v/>
      </c>
      <c r="E75" s="132">
        <f>IF(A75&lt;&gt;"",COUNTIF('📋 Suspens'!E:E,A75),"")</f>
        <v/>
      </c>
      <c r="F75" s="133">
        <f>IFERROR(AVERAGEIFS('📋 Suspens'!I:I,'📋 Suspens'!E:E,A75,'📋 Suspens'!H:H,"Cloture"),"")</f>
        <v/>
      </c>
      <c r="G75" s="115">
        <f>IF(A75&lt;&gt;"",COUNTIFS('📋 Suspens'!E:E,A75,'📋 Suspens'!H:H,"En cours",'📋 Suspens'!I:I,"&gt;30"),"")</f>
        <v/>
      </c>
    </row>
    <row r="76" ht="21.75" customHeight="1" s="85">
      <c r="A76" s="120">
        <f>IF('⚙️ Parametres'!C42&lt;&gt;"",'⚙️ Parametres'!C42,"")</f>
        <v/>
      </c>
      <c r="B76" s="122">
        <f>IF(A76&lt;&gt;"",COUNTIFS('📋 Suspens'!E:E,A76,'📋 Suspens'!H:H,"En cours"),"")</f>
        <v/>
      </c>
      <c r="C76" s="122">
        <f>IF(A76&lt;&gt;"",COUNTIFS('📋 Suspens'!E:E,A76,'📋 Suspens'!H:H,"Cloture"),"")</f>
        <v/>
      </c>
      <c r="D76" s="122">
        <f>IF(A76&lt;&gt;"",COUNTIFS('📋 Suspens'!E:E,A76,'📋 Suspens'!H:H,"En attente"),"")</f>
        <v/>
      </c>
      <c r="E76" s="128">
        <f>IF(A76&lt;&gt;"",COUNTIF('📋 Suspens'!E:E,A76),"")</f>
        <v/>
      </c>
      <c r="F76" s="129">
        <f>IFERROR(AVERAGEIFS('📋 Suspens'!I:I,'📋 Suspens'!E:E,A76,'📋 Suspens'!H:H,"Cloture"),"")</f>
        <v/>
      </c>
      <c r="G76" s="122">
        <f>IF(A76&lt;&gt;"",COUNTIFS('📋 Suspens'!E:E,A76,'📋 Suspens'!H:H,"En cours",'📋 Suspens'!I:I,"&gt;30"),"")</f>
        <v/>
      </c>
    </row>
    <row r="77" ht="21.75" customHeight="1" s="85">
      <c r="A77" s="113">
        <f>IF('⚙️ Parametres'!C43&lt;&gt;"",'⚙️ Parametres'!C43,"")</f>
        <v/>
      </c>
      <c r="B77" s="115">
        <f>IF(A77&lt;&gt;"",COUNTIFS('📋 Suspens'!E:E,A77,'📋 Suspens'!H:H,"En cours"),"")</f>
        <v/>
      </c>
      <c r="C77" s="115">
        <f>IF(A77&lt;&gt;"",COUNTIFS('📋 Suspens'!E:E,A77,'📋 Suspens'!H:H,"Cloture"),"")</f>
        <v/>
      </c>
      <c r="D77" s="115">
        <f>IF(A77&lt;&gt;"",COUNTIFS('📋 Suspens'!E:E,A77,'📋 Suspens'!H:H,"En attente"),"")</f>
        <v/>
      </c>
      <c r="E77" s="132">
        <f>IF(A77&lt;&gt;"",COUNTIF('📋 Suspens'!E:E,A77),"")</f>
        <v/>
      </c>
      <c r="F77" s="133">
        <f>IFERROR(AVERAGEIFS('📋 Suspens'!I:I,'📋 Suspens'!E:E,A77,'📋 Suspens'!H:H,"Cloture"),"")</f>
        <v/>
      </c>
      <c r="G77" s="115">
        <f>IF(A77&lt;&gt;"",COUNTIFS('📋 Suspens'!E:E,A77,'📋 Suspens'!H:H,"En cours",'📋 Suspens'!I:I,"&gt;30"),"")</f>
        <v/>
      </c>
    </row>
    <row r="78" ht="21.75" customHeight="1" s="85">
      <c r="A78" s="120">
        <f>IF('⚙️ Parametres'!C44&lt;&gt;"",'⚙️ Parametres'!C44,"")</f>
        <v/>
      </c>
      <c r="B78" s="122">
        <f>IF(A78&lt;&gt;"",COUNTIFS('📋 Suspens'!E:E,A78,'📋 Suspens'!H:H,"En cours"),"")</f>
        <v/>
      </c>
      <c r="C78" s="122">
        <f>IF(A78&lt;&gt;"",COUNTIFS('📋 Suspens'!E:E,A78,'📋 Suspens'!H:H,"Cloture"),"")</f>
        <v/>
      </c>
      <c r="D78" s="122">
        <f>IF(A78&lt;&gt;"",COUNTIFS('📋 Suspens'!E:E,A78,'📋 Suspens'!H:H,"En attente"),"")</f>
        <v/>
      </c>
      <c r="E78" s="128">
        <f>IF(A78&lt;&gt;"",COUNTIF('📋 Suspens'!E:E,A78),"")</f>
        <v/>
      </c>
      <c r="F78" s="129">
        <f>IFERROR(AVERAGEIFS('📋 Suspens'!I:I,'📋 Suspens'!E:E,A78,'📋 Suspens'!H:H,"Cloture"),"")</f>
        <v/>
      </c>
      <c r="G78" s="122">
        <f>IF(A78&lt;&gt;"",COUNTIFS('📋 Suspens'!E:E,A78,'📋 Suspens'!H:H,"En cours",'📋 Suspens'!I:I,"&gt;30"),"")</f>
        <v/>
      </c>
    </row>
    <row r="79" ht="21.75" customHeight="1" s="85">
      <c r="A79" s="113">
        <f>IF('⚙️ Parametres'!C45&lt;&gt;"",'⚙️ Parametres'!C45,"")</f>
        <v/>
      </c>
      <c r="B79" s="115">
        <f>IF(A79&lt;&gt;"",COUNTIFS('📋 Suspens'!E:E,A79,'📋 Suspens'!H:H,"En cours"),"")</f>
        <v/>
      </c>
      <c r="C79" s="115">
        <f>IF(A79&lt;&gt;"",COUNTIFS('📋 Suspens'!E:E,A79,'📋 Suspens'!H:H,"Cloture"),"")</f>
        <v/>
      </c>
      <c r="D79" s="115">
        <f>IF(A79&lt;&gt;"",COUNTIFS('📋 Suspens'!E:E,A79,'📋 Suspens'!H:H,"En attente"),"")</f>
        <v/>
      </c>
      <c r="E79" s="132">
        <f>IF(A79&lt;&gt;"",COUNTIF('📋 Suspens'!E:E,A79),"")</f>
        <v/>
      </c>
      <c r="F79" s="133">
        <f>IFERROR(AVERAGEIFS('📋 Suspens'!I:I,'📋 Suspens'!E:E,A79,'📋 Suspens'!H:H,"Cloture"),"")</f>
        <v/>
      </c>
      <c r="G79" s="115">
        <f>IF(A79&lt;&gt;"",COUNTIFS('📋 Suspens'!E:E,A79,'📋 Suspens'!H:H,"En cours",'📋 Suspens'!I:I,"&gt;30"),"")</f>
        <v/>
      </c>
    </row>
    <row r="80" ht="21.75" customHeight="1" s="85">
      <c r="A80" s="120">
        <f>IF('⚙️ Parametres'!C46&lt;&gt;"",'⚙️ Parametres'!C46,"")</f>
        <v/>
      </c>
      <c r="B80" s="122">
        <f>IF(A80&lt;&gt;"",COUNTIFS('📋 Suspens'!E:E,A80,'📋 Suspens'!H:H,"En cours"),"")</f>
        <v/>
      </c>
      <c r="C80" s="122">
        <f>IF(A80&lt;&gt;"",COUNTIFS('📋 Suspens'!E:E,A80,'📋 Suspens'!H:H,"Cloture"),"")</f>
        <v/>
      </c>
      <c r="D80" s="122">
        <f>IF(A80&lt;&gt;"",COUNTIFS('📋 Suspens'!E:E,A80,'📋 Suspens'!H:H,"En attente"),"")</f>
        <v/>
      </c>
      <c r="E80" s="128">
        <f>IF(A80&lt;&gt;"",COUNTIF('📋 Suspens'!E:E,A80),"")</f>
        <v/>
      </c>
      <c r="F80" s="129">
        <f>IFERROR(AVERAGEIFS('📋 Suspens'!I:I,'📋 Suspens'!E:E,A80,'📋 Suspens'!H:H,"Cloture"),"")</f>
        <v/>
      </c>
      <c r="G80" s="122">
        <f>IF(A80&lt;&gt;"",COUNTIFS('📋 Suspens'!E:E,A80,'📋 Suspens'!H:H,"En cours",'📋 Suspens'!I:I,"&gt;30"),"")</f>
        <v/>
      </c>
    </row>
    <row r="81" ht="21.75" customHeight="1" s="85">
      <c r="A81" s="113">
        <f>IF('⚙️ Parametres'!C47&lt;&gt;"",'⚙️ Parametres'!C47,"")</f>
        <v/>
      </c>
      <c r="B81" s="115">
        <f>IF(A81&lt;&gt;"",COUNTIFS('📋 Suspens'!E:E,A81,'📋 Suspens'!H:H,"En cours"),"")</f>
        <v/>
      </c>
      <c r="C81" s="115">
        <f>IF(A81&lt;&gt;"",COUNTIFS('📋 Suspens'!E:E,A81,'📋 Suspens'!H:H,"Cloture"),"")</f>
        <v/>
      </c>
      <c r="D81" s="115">
        <f>IF(A81&lt;&gt;"",COUNTIFS('📋 Suspens'!E:E,A81,'📋 Suspens'!H:H,"En attente"),"")</f>
        <v/>
      </c>
      <c r="E81" s="132">
        <f>IF(A81&lt;&gt;"",COUNTIF('📋 Suspens'!E:E,A81),"")</f>
        <v/>
      </c>
      <c r="F81" s="133">
        <f>IFERROR(AVERAGEIFS('📋 Suspens'!I:I,'📋 Suspens'!E:E,A81,'📋 Suspens'!H:H,"Cloture"),"")</f>
        <v/>
      </c>
      <c r="G81" s="115">
        <f>IF(A81&lt;&gt;"",COUNTIFS('📋 Suspens'!E:E,A81,'📋 Suspens'!H:H,"En cours",'📋 Suspens'!I:I,"&gt;30"),"")</f>
        <v/>
      </c>
    </row>
    <row r="82" ht="21.75" customHeight="1" s="85">
      <c r="A82" s="120">
        <f>IF('⚙️ Parametres'!C48&lt;&gt;"",'⚙️ Parametres'!C48,"")</f>
        <v/>
      </c>
      <c r="B82" s="122">
        <f>IF(A82&lt;&gt;"",COUNTIFS('📋 Suspens'!E:E,A82,'📋 Suspens'!H:H,"En cours"),"")</f>
        <v/>
      </c>
      <c r="C82" s="122">
        <f>IF(A82&lt;&gt;"",COUNTIFS('📋 Suspens'!E:E,A82,'📋 Suspens'!H:H,"Cloture"),"")</f>
        <v/>
      </c>
      <c r="D82" s="122">
        <f>IF(A82&lt;&gt;"",COUNTIFS('📋 Suspens'!E:E,A82,'📋 Suspens'!H:H,"En attente"),"")</f>
        <v/>
      </c>
      <c r="E82" s="128">
        <f>IF(A82&lt;&gt;"",COUNTIF('📋 Suspens'!E:E,A82),"")</f>
        <v/>
      </c>
      <c r="F82" s="129">
        <f>IFERROR(AVERAGEIFS('📋 Suspens'!I:I,'📋 Suspens'!E:E,A82,'📋 Suspens'!H:H,"Cloture"),"")</f>
        <v/>
      </c>
      <c r="G82" s="122">
        <f>IF(A82&lt;&gt;"",COUNTIFS('📋 Suspens'!E:E,A82,'📋 Suspens'!H:H,"En cours",'📋 Suspens'!I:I,"&gt;30"),"")</f>
        <v/>
      </c>
    </row>
    <row r="83" ht="21.75" customHeight="1" s="85">
      <c r="A83" s="113">
        <f>IF('⚙️ Parametres'!C49&lt;&gt;"",'⚙️ Parametres'!C49,"")</f>
        <v/>
      </c>
      <c r="B83" s="115">
        <f>IF(A83&lt;&gt;"",COUNTIFS('📋 Suspens'!E:E,A83,'📋 Suspens'!H:H,"En cours"),"")</f>
        <v/>
      </c>
      <c r="C83" s="115">
        <f>IF(A83&lt;&gt;"",COUNTIFS('📋 Suspens'!E:E,A83,'📋 Suspens'!H:H,"Cloture"),"")</f>
        <v/>
      </c>
      <c r="D83" s="115">
        <f>IF(A83&lt;&gt;"",COUNTIFS('📋 Suspens'!E:E,A83,'📋 Suspens'!H:H,"En attente"),"")</f>
        <v/>
      </c>
      <c r="E83" s="132">
        <f>IF(A83&lt;&gt;"",COUNTIF('📋 Suspens'!E:E,A83),"")</f>
        <v/>
      </c>
      <c r="F83" s="133">
        <f>IFERROR(AVERAGEIFS('📋 Suspens'!I:I,'📋 Suspens'!E:E,A83,'📋 Suspens'!H:H,"Cloture"),"")</f>
        <v/>
      </c>
      <c r="G83" s="115">
        <f>IF(A83&lt;&gt;"",COUNTIFS('📋 Suspens'!E:E,A83,'📋 Suspens'!H:H,"En cours",'📋 Suspens'!I:I,"&gt;30"),"")</f>
        <v/>
      </c>
    </row>
    <row r="84" ht="21.75" customHeight="1" s="85">
      <c r="A84" s="120">
        <f>IF('⚙️ Parametres'!C50&lt;&gt;"",'⚙️ Parametres'!C50,"")</f>
        <v/>
      </c>
      <c r="B84" s="122">
        <f>IF(A84&lt;&gt;"",COUNTIFS('📋 Suspens'!E:E,A84,'📋 Suspens'!H:H,"En cours"),"")</f>
        <v/>
      </c>
      <c r="C84" s="122">
        <f>IF(A84&lt;&gt;"",COUNTIFS('📋 Suspens'!E:E,A84,'📋 Suspens'!H:H,"Cloture"),"")</f>
        <v/>
      </c>
      <c r="D84" s="122">
        <f>IF(A84&lt;&gt;"",COUNTIFS('📋 Suspens'!E:E,A84,'📋 Suspens'!H:H,"En attente"),"")</f>
        <v/>
      </c>
      <c r="E84" s="128">
        <f>IF(A84&lt;&gt;"",COUNTIF('📋 Suspens'!E:E,A84),"")</f>
        <v/>
      </c>
      <c r="F84" s="129">
        <f>IFERROR(AVERAGEIFS('📋 Suspens'!I:I,'📋 Suspens'!E:E,A84,'📋 Suspens'!H:H,"Cloture"),"")</f>
        <v/>
      </c>
      <c r="G84" s="122">
        <f>IF(A84&lt;&gt;"",COUNTIFS('📋 Suspens'!E:E,A84,'📋 Suspens'!H:H,"En cours",'📋 Suspens'!I:I,"&gt;30"),"")</f>
        <v/>
      </c>
    </row>
    <row r="85" ht="21.75" customHeight="1" s="85">
      <c r="A85" s="113">
        <f>IF('⚙️ Parametres'!C51&lt;&gt;"",'⚙️ Parametres'!C51,"")</f>
        <v/>
      </c>
      <c r="B85" s="115">
        <f>IF(A85&lt;&gt;"",COUNTIFS('📋 Suspens'!E:E,A85,'📋 Suspens'!H:H,"En cours"),"")</f>
        <v/>
      </c>
      <c r="C85" s="115">
        <f>IF(A85&lt;&gt;"",COUNTIFS('📋 Suspens'!E:E,A85,'📋 Suspens'!H:H,"Cloture"),"")</f>
        <v/>
      </c>
      <c r="D85" s="115">
        <f>IF(A85&lt;&gt;"",COUNTIFS('📋 Suspens'!E:E,A85,'📋 Suspens'!H:H,"En attente"),"")</f>
        <v/>
      </c>
      <c r="E85" s="132">
        <f>IF(A85&lt;&gt;"",COUNTIF('📋 Suspens'!E:E,A85),"")</f>
        <v/>
      </c>
      <c r="F85" s="133">
        <f>IFERROR(AVERAGEIFS('📋 Suspens'!I:I,'📋 Suspens'!E:E,A85,'📋 Suspens'!H:H,"Cloture"),"")</f>
        <v/>
      </c>
      <c r="G85" s="115">
        <f>IF(A85&lt;&gt;"",COUNTIFS('📋 Suspens'!E:E,A85,'📋 Suspens'!H:H,"En cours",'📋 Suspens'!I:I,"&gt;30"),"")</f>
        <v/>
      </c>
    </row>
    <row r="86" ht="18" customHeight="1" s="85">
      <c r="A86" s="137" t="inlineStr">
        <is>
          <t>* Liste des analystes mise a jour automatiquement depuis Access a chaque actualisation</t>
        </is>
      </c>
    </row>
  </sheetData>
  <mergeCells count="3">
    <mergeCell ref="A3:G3"/>
    <mergeCell ref="A1:G1"/>
    <mergeCell ref="A34:G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E65100"/>
    <outlinePr summaryBelow="1" summaryRight="1"/>
    <pageSetUpPr fitToPage="0"/>
  </sheetPr>
  <dimension ref="A1:AE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.5" customWidth="1" style="84" min="1" max="31"/>
  </cols>
  <sheetData>
    <row r="1" ht="39.75" customHeight="1" s="85">
      <c r="A1" s="138" t="inlineStr">
        <is>
          <t>TABLEAU DE BORD GRAPHIQUE  |  SGCI</t>
        </is>
      </c>
    </row>
    <row r="2" ht="4.5" customHeight="1" s="85">
      <c r="A2" s="89" t="n"/>
    </row>
    <row r="3" ht="24.75" customHeight="1" s="85">
      <c r="A3" s="139" t="inlineStr">
        <is>
          <t>SUSPENS PAR RAISON  (Top 10 par volume)</t>
        </is>
      </c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P3" s="140" t="inlineStr">
        <is>
          <t>REPARTITION PAR STATUT</t>
        </is>
      </c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</row>
    <row r="23" ht="24.75" customHeight="1" s="85">
      <c r="A23" s="141" t="inlineStr">
        <is>
          <t>SUSPENS EN COURS PAR ANALYSTE</t>
        </is>
      </c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  <c r="L23" s="93" t="n"/>
      <c r="M23" s="93" t="n"/>
      <c r="N23" s="93" t="n"/>
      <c r="P23" s="142" t="inlineStr">
        <is>
          <t>EVOLUTION MENSUELLE DES SUSPENS</t>
        </is>
      </c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93" t="n"/>
    </row>
    <row r="44" ht="19.5" customHeight="1" s="85">
      <c r="A44" s="143" t="inlineStr">
        <is>
          <t>RAISON (Top 10)</t>
        </is>
      </c>
      <c r="B44" s="93" t="n"/>
      <c r="C44" s="93" t="n"/>
      <c r="D44" s="93" t="n"/>
      <c r="E44" s="93" t="n"/>
      <c r="F44" s="93" t="n"/>
      <c r="G44" s="93" t="n"/>
      <c r="H44" s="93" t="n"/>
      <c r="I44" s="93" t="n"/>
      <c r="J44" s="93" t="n"/>
      <c r="K44" s="143" t="inlineStr">
        <is>
          <t>NB</t>
        </is>
      </c>
      <c r="L44" s="93" t="n"/>
      <c r="N44" s="143" t="inlineStr">
        <is>
          <t>STATUT</t>
        </is>
      </c>
      <c r="O44" s="93" t="n"/>
      <c r="P44" s="93" t="n"/>
      <c r="Q44" s="93" t="n"/>
      <c r="R44" s="143" t="inlineStr">
        <is>
          <t>NB</t>
        </is>
      </c>
      <c r="S44" s="93" t="n"/>
    </row>
    <row r="45" ht="15" customHeight="1" s="85">
      <c r="A45" s="144">
        <f>SIERREUR(INDEX(Statistiques!$A$5:$A$31;EQUIV(GRANDE.VALEUR(Statistiques!$B$5:$B$31;1);Statistiques!$B$5:$B$31;0));"")</f>
        <v/>
      </c>
      <c r="K45" s="145">
        <f>SIERREUR(SI(A45&lt;&gt;"";SOMMESI(Statistiques!$A$5:$A$31;A45;Statistiques!$B$5:$B$31);0);0)</f>
        <v/>
      </c>
      <c r="N45" s="146" t="inlineStr">
        <is>
          <t>En cours</t>
        </is>
      </c>
      <c r="R45" s="147">
        <f>COUNTIF('📋 Suspens'!H:H,"En cours")</f>
        <v/>
      </c>
    </row>
    <row r="46" ht="15" customHeight="1" s="85">
      <c r="A46" s="144">
        <f>SIERREUR(INDEX(Statistiques!$A$5:$A$31;EQUIV(1;(NB.SI($A$45:$A$45;Statistiques!$A$5:$A$31)=0)*(Statistiques!$B$5:$B$31=GRANDE.VALEUR(SI(NB.SI($A$45:$A$45;Statistiques!$A$5:$A$31)=0;Statistiques!$B$5:$B$31);1));0));"")</f>
        <v/>
      </c>
      <c r="K46" s="145">
        <f>SIERREUR(SI(A46&lt;&gt;"";SOMMESI(Statistiques!$A$5:$A$31;A46;Statistiques!$B$5:$B$31);0);0)</f>
        <v/>
      </c>
      <c r="N46" s="146" t="inlineStr">
        <is>
          <t>Cloture</t>
        </is>
      </c>
      <c r="R46" s="147">
        <f>COUNTIF('📋 Suspens'!H:H,"Cloture")</f>
        <v/>
      </c>
    </row>
    <row r="47" ht="15" customHeight="1" s="85">
      <c r="A47" s="144">
        <f>SIERREUR(INDEX(Statistiques!$A$5:$A$31;EQUIV(1;(NB.SI($A$45:$A$46;Statistiques!$A$5:$A$31)=0)*(Statistiques!$B$5:$B$31=GRANDE.VALEUR(SI(NB.SI($A$45:$A$46;Statistiques!$A$5:$A$31)=0;Statistiques!$B$5:$B$31);1));0));"")</f>
        <v/>
      </c>
      <c r="K47" s="145">
        <f>SIERREUR(SI(A47&lt;&gt;"";SOMMESI(Statistiques!$A$5:$A$31;A47;Statistiques!$B$5:$B$31);0);0)</f>
        <v/>
      </c>
      <c r="N47" s="146" t="inlineStr">
        <is>
          <t>En attente</t>
        </is>
      </c>
      <c r="R47" s="147">
        <f>COUNTIF('📋 Suspens'!H:H,"En attente")</f>
        <v/>
      </c>
    </row>
    <row r="48" ht="15" customHeight="1" s="85">
      <c r="A48" s="144">
        <f>SIERREUR(INDEX(Statistiques!$A$5:$A$31;EQUIV(1;(NB.SI($A$45:$A$47;Statistiques!$A$5:$A$31)=0)*(Statistiques!$B$5:$B$31=GRANDE.VALEUR(SI(NB.SI($A$45:$A$47;Statistiques!$A$5:$A$31)=0;Statistiques!$B$5:$B$31);1));0));"")</f>
        <v/>
      </c>
      <c r="K48" s="145">
        <f>SIERREUR(SI(A48&lt;&gt;"";SOMMESI(Statistiques!$A$5:$A$31;A48;Statistiques!$B$5:$B$31);0);0)</f>
        <v/>
      </c>
    </row>
    <row r="49" ht="15" customHeight="1" s="85">
      <c r="A49" s="144">
        <f>SIERREUR(INDEX(Statistiques!$A$5:$A$31;EQUIV(1;(NB.SI($A$45:$A$48;Statistiques!$A$5:$A$31)=0)*(Statistiques!$B$5:$B$31=GRANDE.VALEUR(SI(NB.SI($A$45:$A$48;Statistiques!$A$5:$A$31)=0;Statistiques!$B$5:$B$31);1));0));"")</f>
        <v/>
      </c>
      <c r="K49" s="145">
        <f>SIERREUR(SI(A49&lt;&gt;"";SOMMESI(Statistiques!$A$5:$A$31;A49;Statistiques!$B$5:$B$31);0);0)</f>
        <v/>
      </c>
    </row>
    <row r="50" ht="15" customHeight="1" s="85">
      <c r="A50" s="144">
        <f>SIERREUR(INDEX(Statistiques!$A$5:$A$31;EQUIV(1;(NB.SI($A$45:$A$49;Statistiques!$A$5:$A$31)=0)*(Statistiques!$B$5:$B$31=GRANDE.VALEUR(SI(NB.SI($A$45:$A$49;Statistiques!$A$5:$A$31)=0;Statistiques!$B$5:$B$31);1));0));"")</f>
        <v/>
      </c>
      <c r="K50" s="145">
        <f>SIERREUR(SI(A50&lt;&gt;"";SOMMESI(Statistiques!$A$5:$A$31;A50;Statistiques!$B$5:$B$31);0);0)</f>
        <v/>
      </c>
    </row>
    <row r="51" ht="15" customHeight="1" s="85">
      <c r="A51" s="144">
        <f>SIERREUR(INDEX(Statistiques!$A$5:$A$31;EQUIV(1;(NB.SI($A$45:$A$50;Statistiques!$A$5:$A$31)=0)*(Statistiques!$B$5:$B$31=GRANDE.VALEUR(SI(NB.SI($A$45:$A$50;Statistiques!$A$5:$A$31)=0;Statistiques!$B$5:$B$31);1));0));"")</f>
        <v/>
      </c>
      <c r="K51" s="145">
        <f>SIERREUR(SI(A51&lt;&gt;"";SOMMESI(Statistiques!$A$5:$A$31;A51;Statistiques!$B$5:$B$31);0);0)</f>
        <v/>
      </c>
    </row>
    <row r="52" ht="15" customHeight="1" s="85">
      <c r="A52" s="144">
        <f>SIERREUR(INDEX(Statistiques!$A$5:$A$31;EQUIV(1;(NB.SI($A$45:$A$51;Statistiques!$A$5:$A$31)=0)*(Statistiques!$B$5:$B$31=GRANDE.VALEUR(SI(NB.SI($A$45:$A$51;Statistiques!$A$5:$A$31)=0;Statistiques!$B$5:$B$31);1));0));"")</f>
        <v/>
      </c>
      <c r="K52" s="145">
        <f>SIERREUR(SI(A52&lt;&gt;"";SOMMESI(Statistiques!$A$5:$A$31;A52;Statistiques!$B$5:$B$31);0);0)</f>
        <v/>
      </c>
    </row>
    <row r="53" ht="15" customHeight="1" s="85">
      <c r="A53" s="144">
        <f>SIERREUR(INDEX(Statistiques!$A$5:$A$31;EQUIV(1;(NB.SI($A$45:$A$52;Statistiques!$A$5:$A$31)=0)*(Statistiques!$B$5:$B$31=GRANDE.VALEUR(SI(NB.SI($A$45:$A$52;Statistiques!$A$5:$A$31)=0;Statistiques!$B$5:$B$31);1));0));"")</f>
        <v/>
      </c>
      <c r="K53" s="145">
        <f>SIERREUR(SI(A53&lt;&gt;"";SOMMESI(Statistiques!$A$5:$A$31;A53;Statistiques!$B$5:$B$31);0);0)</f>
        <v/>
      </c>
    </row>
    <row r="54" ht="15" customHeight="1" s="85">
      <c r="A54" s="144">
        <f>SIERREUR(INDEX(Statistiques!$A$5:$A$31;EQUIV(1;(NB.SI($A$45:$A$53;Statistiques!$A$5:$A$31)=0)*(Statistiques!$B$5:$B$31=GRANDE.VALEUR(SI(NB.SI($A$45:$A$53;Statistiques!$A$5:$A$31)=0;Statistiques!$B$5:$B$31);1));0));"")</f>
        <v/>
      </c>
      <c r="K54" s="145">
        <f>SIERREUR(SI(A54&lt;&gt;"";SOMMESI(Statistiques!$A$5:$A$31;A54;Statistiques!$B$5:$B$31);0);0)</f>
        <v/>
      </c>
    </row>
  </sheetData>
  <mergeCells count="10">
    <mergeCell ref="A44:J44"/>
    <mergeCell ref="A3:N3"/>
    <mergeCell ref="A2:AE2"/>
    <mergeCell ref="R44:S44"/>
    <mergeCell ref="A1:AE1"/>
    <mergeCell ref="P23:AE23"/>
    <mergeCell ref="K44:L44"/>
    <mergeCell ref="N44:Q44"/>
    <mergeCell ref="P3:AE3"/>
    <mergeCell ref="A23:N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M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84" min="1" max="1"/>
    <col width="14" customWidth="1" style="84" min="2" max="14"/>
  </cols>
  <sheetData>
    <row r="1" ht="34.5" customHeight="1" s="85">
      <c r="A1" s="148" t="inlineStr">
        <is>
          <t>SUIVI MENSUEL DES SUSPENS  |  SGCI  (2026)</t>
        </is>
      </c>
    </row>
    <row r="2" ht="7.5" customHeight="1" s="85"/>
    <row r="3" ht="30" customHeight="1" s="85">
      <c r="A3" s="149" t="inlineStr">
        <is>
          <t>INDICATEUR</t>
        </is>
      </c>
      <c r="B3" s="150" t="inlineStr">
        <is>
          <t>January 2026</t>
        </is>
      </c>
      <c r="C3" s="150" t="inlineStr">
        <is>
          <t>February 2026</t>
        </is>
      </c>
      <c r="D3" s="150" t="inlineStr">
        <is>
          <t>March 2026</t>
        </is>
      </c>
      <c r="E3" s="150" t="inlineStr">
        <is>
          <t>April 2026</t>
        </is>
      </c>
      <c r="F3" s="150" t="inlineStr">
        <is>
          <t>May 2026</t>
        </is>
      </c>
      <c r="G3" s="150" t="inlineStr">
        <is>
          <t>June 2026</t>
        </is>
      </c>
      <c r="H3" s="150" t="inlineStr">
        <is>
          <t>July 2026</t>
        </is>
      </c>
      <c r="I3" s="150" t="inlineStr">
        <is>
          <t>August 2026</t>
        </is>
      </c>
      <c r="J3" s="150" t="inlineStr">
        <is>
          <t>September 2026</t>
        </is>
      </c>
      <c r="K3" s="150" t="inlineStr">
        <is>
          <t>October 2026</t>
        </is>
      </c>
      <c r="L3" s="150" t="inlineStr">
        <is>
          <t>November 2026</t>
        </is>
      </c>
      <c r="M3" s="150" t="inlineStr">
        <is>
          <t>December 2026</t>
        </is>
      </c>
    </row>
    <row r="4" ht="25.5" customHeight="1" s="85">
      <c r="A4" s="151" t="inlineStr">
        <is>
          <t>Nouveaux suspens recus</t>
        </is>
      </c>
      <c r="B4" s="122">
        <f>COUNTIFS('📋 Suspens'!O:O,"January 2026")</f>
        <v/>
      </c>
      <c r="C4" s="122">
        <f>COUNTIFS('📋 Suspens'!O:O,"February 2026")</f>
        <v/>
      </c>
      <c r="D4" s="122">
        <f>COUNTIFS('📋 Suspens'!O:O,"March 2026")</f>
        <v/>
      </c>
      <c r="E4" s="122">
        <f>COUNTIFS('📋 Suspens'!O:O,"April 2026")</f>
        <v/>
      </c>
      <c r="F4" s="122">
        <f>COUNTIFS('📋 Suspens'!O:O,"May 2026")</f>
        <v/>
      </c>
      <c r="G4" s="122">
        <f>COUNTIFS('📋 Suspens'!O:O,"June 2026")</f>
        <v/>
      </c>
      <c r="H4" s="122">
        <f>COUNTIFS('📋 Suspens'!O:O,"July 2026")</f>
        <v/>
      </c>
      <c r="I4" s="122">
        <f>COUNTIFS('📋 Suspens'!O:O,"August 2026")</f>
        <v/>
      </c>
      <c r="J4" s="122">
        <f>COUNTIFS('📋 Suspens'!O:O,"September 2026")</f>
        <v/>
      </c>
      <c r="K4" s="122">
        <f>COUNTIFS('📋 Suspens'!O:O,"October 2026")</f>
        <v/>
      </c>
      <c r="L4" s="122">
        <f>COUNTIFS('📋 Suspens'!O:O,"November 2026")</f>
        <v/>
      </c>
      <c r="M4" s="122">
        <f>COUNTIFS('📋 Suspens'!O:O,"December 2026")</f>
        <v/>
      </c>
    </row>
    <row r="5" ht="25.5" customHeight="1" s="85">
      <c r="A5" s="113" t="inlineStr">
        <is>
          <t>Suspens clotures</t>
        </is>
      </c>
      <c r="B5" s="115">
        <f>COUNTIFS('📋 Suspens'!O:O,"January 2026",'📋 Suspens'!H:H,"Cloture")</f>
        <v/>
      </c>
      <c r="C5" s="115">
        <f>COUNTIFS('📋 Suspens'!O:O,"February 2026",'📋 Suspens'!H:H,"Cloture")</f>
        <v/>
      </c>
      <c r="D5" s="115">
        <f>COUNTIFS('📋 Suspens'!O:O,"March 2026",'📋 Suspens'!H:H,"Cloture")</f>
        <v/>
      </c>
      <c r="E5" s="115">
        <f>COUNTIFS('📋 Suspens'!O:O,"April 2026",'📋 Suspens'!H:H,"Cloture")</f>
        <v/>
      </c>
      <c r="F5" s="115">
        <f>COUNTIFS('📋 Suspens'!O:O,"May 2026",'📋 Suspens'!H:H,"Cloture")</f>
        <v/>
      </c>
      <c r="G5" s="115">
        <f>COUNTIFS('📋 Suspens'!O:O,"June 2026",'📋 Suspens'!H:H,"Cloture")</f>
        <v/>
      </c>
      <c r="H5" s="115">
        <f>COUNTIFS('📋 Suspens'!O:O,"July 2026",'📋 Suspens'!H:H,"Cloture")</f>
        <v/>
      </c>
      <c r="I5" s="115">
        <f>COUNTIFS('📋 Suspens'!O:O,"August 2026",'📋 Suspens'!H:H,"Cloture")</f>
        <v/>
      </c>
      <c r="J5" s="115">
        <f>COUNTIFS('📋 Suspens'!O:O,"September 2026",'📋 Suspens'!H:H,"Cloture")</f>
        <v/>
      </c>
      <c r="K5" s="115">
        <f>COUNTIFS('📋 Suspens'!O:O,"October 2026",'📋 Suspens'!H:H,"Cloture")</f>
        <v/>
      </c>
      <c r="L5" s="115">
        <f>COUNTIFS('📋 Suspens'!O:O,"November 2026",'📋 Suspens'!H:H,"Cloture")</f>
        <v/>
      </c>
      <c r="M5" s="115">
        <f>COUNTIFS('📋 Suspens'!O:O,"December 2026",'📋 Suspens'!H:H,"Cloture")</f>
        <v/>
      </c>
    </row>
    <row r="6" ht="25.5" customHeight="1" s="85">
      <c r="A6" s="120" t="inlineStr">
        <is>
          <t>Duree moy. clotures (j)</t>
        </is>
      </c>
      <c r="B6" s="129">
        <f>IFERROR(AVERAGEIFS('📋 Suspens'!I:I,'📋 Suspens'!O:O,"January 2026",'📋 Suspens'!H:H,"Cloture"),"")</f>
        <v/>
      </c>
      <c r="C6" s="129">
        <f>IFERROR(AVERAGEIFS('📋 Suspens'!I:I,'📋 Suspens'!O:O,"February 2026",'📋 Suspens'!H:H,"Cloture"),"")</f>
        <v/>
      </c>
      <c r="D6" s="129">
        <f>IFERROR(AVERAGEIFS('📋 Suspens'!I:I,'📋 Suspens'!O:O,"March 2026",'📋 Suspens'!H:H,"Cloture"),"")</f>
        <v/>
      </c>
      <c r="E6" s="129">
        <f>IFERROR(AVERAGEIFS('📋 Suspens'!I:I,'📋 Suspens'!O:O,"April 2026",'📋 Suspens'!H:H,"Cloture"),"")</f>
        <v/>
      </c>
      <c r="F6" s="129">
        <f>IFERROR(AVERAGEIFS('📋 Suspens'!I:I,'📋 Suspens'!O:O,"May 2026",'📋 Suspens'!H:H,"Cloture"),"")</f>
        <v/>
      </c>
      <c r="G6" s="129">
        <f>IFERROR(AVERAGEIFS('📋 Suspens'!I:I,'📋 Suspens'!O:O,"June 2026",'📋 Suspens'!H:H,"Cloture"),"")</f>
        <v/>
      </c>
      <c r="H6" s="129">
        <f>IFERROR(AVERAGEIFS('📋 Suspens'!I:I,'📋 Suspens'!O:O,"July 2026",'📋 Suspens'!H:H,"Cloture"),"")</f>
        <v/>
      </c>
      <c r="I6" s="129">
        <f>IFERROR(AVERAGEIFS('📋 Suspens'!I:I,'📋 Suspens'!O:O,"August 2026",'📋 Suspens'!H:H,"Cloture"),"")</f>
        <v/>
      </c>
      <c r="J6" s="129">
        <f>IFERROR(AVERAGEIFS('📋 Suspens'!I:I,'📋 Suspens'!O:O,"September 2026",'📋 Suspens'!H:H,"Cloture"),"")</f>
        <v/>
      </c>
      <c r="K6" s="129">
        <f>IFERROR(AVERAGEIFS('📋 Suspens'!I:I,'📋 Suspens'!O:O,"October 2026",'📋 Suspens'!H:H,"Cloture"),"")</f>
        <v/>
      </c>
      <c r="L6" s="129">
        <f>IFERROR(AVERAGEIFS('📋 Suspens'!I:I,'📋 Suspens'!O:O,"November 2026",'📋 Suspens'!H:H,"Cloture"),"")</f>
        <v/>
      </c>
      <c r="M6" s="129">
        <f>IFERROR(AVERAGEIFS('📋 Suspens'!I:I,'📋 Suspens'!O:O,"December 2026",'📋 Suspens'!H:H,"Cloture"),"")</f>
        <v/>
      </c>
    </row>
    <row r="7" ht="25.5" customHeight="1" s="85">
      <c r="A7" s="113" t="inlineStr">
        <is>
          <t>Suspens &gt; 30j en cours</t>
        </is>
      </c>
      <c r="B7" s="115">
        <f>COUNTIFS('📋 Suspens'!O:O,"January 2026",'📋 Suspens'!H:H,"En cours",'📋 Suspens'!I:I,"&gt;30")</f>
        <v/>
      </c>
      <c r="C7" s="115">
        <f>COUNTIFS('📋 Suspens'!O:O,"February 2026",'📋 Suspens'!H:H,"En cours",'📋 Suspens'!I:I,"&gt;30")</f>
        <v/>
      </c>
      <c r="D7" s="115">
        <f>COUNTIFS('📋 Suspens'!O:O,"March 2026",'📋 Suspens'!H:H,"En cours",'📋 Suspens'!I:I,"&gt;30")</f>
        <v/>
      </c>
      <c r="E7" s="115">
        <f>COUNTIFS('📋 Suspens'!O:O,"April 2026",'📋 Suspens'!H:H,"En cours",'📋 Suspens'!I:I,"&gt;30")</f>
        <v/>
      </c>
      <c r="F7" s="115">
        <f>COUNTIFS('📋 Suspens'!O:O,"May 2026",'📋 Suspens'!H:H,"En cours",'📋 Suspens'!I:I,"&gt;30")</f>
        <v/>
      </c>
      <c r="G7" s="115">
        <f>COUNTIFS('📋 Suspens'!O:O,"June 2026",'📋 Suspens'!H:H,"En cours",'📋 Suspens'!I:I,"&gt;30")</f>
        <v/>
      </c>
      <c r="H7" s="115">
        <f>COUNTIFS('📋 Suspens'!O:O,"July 2026",'📋 Suspens'!H:H,"En cours",'📋 Suspens'!I:I,"&gt;30")</f>
        <v/>
      </c>
      <c r="I7" s="115">
        <f>COUNTIFS('📋 Suspens'!O:O,"August 2026",'📋 Suspens'!H:H,"En cours",'📋 Suspens'!I:I,"&gt;30")</f>
        <v/>
      </c>
      <c r="J7" s="115">
        <f>COUNTIFS('📋 Suspens'!O:O,"September 2026",'📋 Suspens'!H:H,"En cours",'📋 Suspens'!I:I,"&gt;30")</f>
        <v/>
      </c>
      <c r="K7" s="115">
        <f>COUNTIFS('📋 Suspens'!O:O,"October 2026",'📋 Suspens'!H:H,"En cours",'📋 Suspens'!I:I,"&gt;30")</f>
        <v/>
      </c>
      <c r="L7" s="115">
        <f>COUNTIFS('📋 Suspens'!O:O,"November 2026",'📋 Suspens'!H:H,"En cours",'📋 Suspens'!I:I,"&gt;30")</f>
        <v/>
      </c>
      <c r="M7" s="115">
        <f>COUNTIFS('📋 Suspens'!O:O,"December 2026",'📋 Suspens'!H:H,"En cours",'📋 Suspens'!I:I,"&gt;30")</f>
        <v/>
      </c>
    </row>
    <row r="9" ht="7.5" customHeight="1" s="85"/>
    <row r="10" ht="24.75" customHeight="1" s="85">
      <c r="A10" s="152" t="inlineStr">
        <is>
          <t>NOUVEAUX SUSPENS PAR ANALYSTE ET PAR MOIS</t>
        </is>
      </c>
    </row>
    <row r="11" ht="24.75" customHeight="1" s="85">
      <c r="A11" s="153" t="inlineStr">
        <is>
          <t>ANALYSTE</t>
        </is>
      </c>
      <c r="B11" s="154" t="inlineStr">
        <is>
          <t>January 2026</t>
        </is>
      </c>
      <c r="C11" s="154" t="inlineStr">
        <is>
          <t>February 2026</t>
        </is>
      </c>
      <c r="D11" s="154" t="inlineStr">
        <is>
          <t>March 2026</t>
        </is>
      </c>
      <c r="E11" s="154" t="inlineStr">
        <is>
          <t>April 2026</t>
        </is>
      </c>
      <c r="F11" s="154" t="inlineStr">
        <is>
          <t>May 2026</t>
        </is>
      </c>
      <c r="G11" s="154" t="inlineStr">
        <is>
          <t>June 2026</t>
        </is>
      </c>
      <c r="H11" s="154" t="inlineStr">
        <is>
          <t>July 2026</t>
        </is>
      </c>
      <c r="I11" s="154" t="inlineStr">
        <is>
          <t>August 2026</t>
        </is>
      </c>
      <c r="J11" s="154" t="inlineStr">
        <is>
          <t>September 2026</t>
        </is>
      </c>
      <c r="K11" s="154" t="inlineStr">
        <is>
          <t>October 2026</t>
        </is>
      </c>
      <c r="L11" s="154" t="inlineStr">
        <is>
          <t>November 2026</t>
        </is>
      </c>
      <c r="M11" s="154" t="inlineStr">
        <is>
          <t>December 2026</t>
        </is>
      </c>
    </row>
    <row r="12" ht="21.75" customHeight="1" s="85">
      <c r="A12" s="151">
        <f>IF('⚙️ Parametres'!C2&lt;&gt;"",'⚙️ Parametres'!C2,"")</f>
        <v/>
      </c>
      <c r="B12" s="122">
        <f>IF(A12&lt;&gt;"",COUNTIFS('📋 Suspens'!E:E,A12,'📋 Suspens'!O:O,"January 2026"),"")</f>
        <v/>
      </c>
      <c r="C12" s="122">
        <f>IF(A12&lt;&gt;"",COUNTIFS('📋 Suspens'!E:E,A12,'📋 Suspens'!O:O,"February 2026"),"")</f>
        <v/>
      </c>
      <c r="D12" s="122">
        <f>IF(A12&lt;&gt;"",COUNTIFS('📋 Suspens'!E:E,A12,'📋 Suspens'!O:O,"March 2026"),"")</f>
        <v/>
      </c>
      <c r="E12" s="122">
        <f>IF(A12&lt;&gt;"",COUNTIFS('📋 Suspens'!E:E,A12,'📋 Suspens'!O:O,"April 2026"),"")</f>
        <v/>
      </c>
      <c r="F12" s="122">
        <f>IF(A12&lt;&gt;"",COUNTIFS('📋 Suspens'!E:E,A12,'📋 Suspens'!O:O,"May 2026"),"")</f>
        <v/>
      </c>
      <c r="G12" s="122">
        <f>IF(A12&lt;&gt;"",COUNTIFS('📋 Suspens'!E:E,A12,'📋 Suspens'!O:O,"June 2026"),"")</f>
        <v/>
      </c>
      <c r="H12" s="122">
        <f>IF(A12&lt;&gt;"",COUNTIFS('📋 Suspens'!E:E,A12,'📋 Suspens'!O:O,"July 2026"),"")</f>
        <v/>
      </c>
      <c r="I12" s="122">
        <f>IF(A12&lt;&gt;"",COUNTIFS('📋 Suspens'!E:E,A12,'📋 Suspens'!O:O,"August 2026"),"")</f>
        <v/>
      </c>
      <c r="J12" s="122">
        <f>IF(A12&lt;&gt;"",COUNTIFS('📋 Suspens'!E:E,A12,'📋 Suspens'!O:O,"September 2026"),"")</f>
        <v/>
      </c>
      <c r="K12" s="122">
        <f>IF(A12&lt;&gt;"",COUNTIFS('📋 Suspens'!E:E,A12,'📋 Suspens'!O:O,"October 2026"),"")</f>
        <v/>
      </c>
      <c r="L12" s="122">
        <f>IF(A12&lt;&gt;"",COUNTIFS('📋 Suspens'!E:E,A12,'📋 Suspens'!O:O,"November 2026"),"")</f>
        <v/>
      </c>
      <c r="M12" s="122">
        <f>IF(A12&lt;&gt;"",COUNTIFS('📋 Suspens'!E:E,A12,'📋 Suspens'!O:O,"December 2026"),"")</f>
        <v/>
      </c>
    </row>
    <row r="13" ht="21.75" customHeight="1" s="85">
      <c r="A13" s="155">
        <f>IF('⚙️ Parametres'!C3&lt;&gt;"",'⚙️ Parametres'!C3,"")</f>
        <v/>
      </c>
      <c r="B13" s="115">
        <f>IF(A13&lt;&gt;"",COUNTIFS('📋 Suspens'!E:E,A13,'📋 Suspens'!O:O,"January 2026"),"")</f>
        <v/>
      </c>
      <c r="C13" s="115">
        <f>IF(A13&lt;&gt;"",COUNTIFS('📋 Suspens'!E:E,A13,'📋 Suspens'!O:O,"February 2026"),"")</f>
        <v/>
      </c>
      <c r="D13" s="115">
        <f>IF(A13&lt;&gt;"",COUNTIFS('📋 Suspens'!E:E,A13,'📋 Suspens'!O:O,"March 2026"),"")</f>
        <v/>
      </c>
      <c r="E13" s="115">
        <f>IF(A13&lt;&gt;"",COUNTIFS('📋 Suspens'!E:E,A13,'📋 Suspens'!O:O,"April 2026"),"")</f>
        <v/>
      </c>
      <c r="F13" s="115">
        <f>IF(A13&lt;&gt;"",COUNTIFS('📋 Suspens'!E:E,A13,'📋 Suspens'!O:O,"May 2026"),"")</f>
        <v/>
      </c>
      <c r="G13" s="115">
        <f>IF(A13&lt;&gt;"",COUNTIFS('📋 Suspens'!E:E,A13,'📋 Suspens'!O:O,"June 2026"),"")</f>
        <v/>
      </c>
      <c r="H13" s="115">
        <f>IF(A13&lt;&gt;"",COUNTIFS('📋 Suspens'!E:E,A13,'📋 Suspens'!O:O,"July 2026"),"")</f>
        <v/>
      </c>
      <c r="I13" s="115">
        <f>IF(A13&lt;&gt;"",COUNTIFS('📋 Suspens'!E:E,A13,'📋 Suspens'!O:O,"August 2026"),"")</f>
        <v/>
      </c>
      <c r="J13" s="115">
        <f>IF(A13&lt;&gt;"",COUNTIFS('📋 Suspens'!E:E,A13,'📋 Suspens'!O:O,"September 2026"),"")</f>
        <v/>
      </c>
      <c r="K13" s="115">
        <f>IF(A13&lt;&gt;"",COUNTIFS('📋 Suspens'!E:E,A13,'📋 Suspens'!O:O,"October 2026"),"")</f>
        <v/>
      </c>
      <c r="L13" s="115">
        <f>IF(A13&lt;&gt;"",COUNTIFS('📋 Suspens'!E:E,A13,'📋 Suspens'!O:O,"November 2026"),"")</f>
        <v/>
      </c>
      <c r="M13" s="115">
        <f>IF(A13&lt;&gt;"",COUNTIFS('📋 Suspens'!E:E,A13,'📋 Suspens'!O:O,"December 2026"),"")</f>
        <v/>
      </c>
    </row>
    <row r="14" ht="21.75" customHeight="1" s="85">
      <c r="A14" s="151">
        <f>IF('⚙️ Parametres'!C4&lt;&gt;"",'⚙️ Parametres'!C4,"")</f>
        <v/>
      </c>
      <c r="B14" s="122">
        <f>IF(A14&lt;&gt;"",COUNTIFS('📋 Suspens'!E:E,A14,'📋 Suspens'!O:O,"January 2026"),"")</f>
        <v/>
      </c>
      <c r="C14" s="122">
        <f>IF(A14&lt;&gt;"",COUNTIFS('📋 Suspens'!E:E,A14,'📋 Suspens'!O:O,"February 2026"),"")</f>
        <v/>
      </c>
      <c r="D14" s="122">
        <f>IF(A14&lt;&gt;"",COUNTIFS('📋 Suspens'!E:E,A14,'📋 Suspens'!O:O,"March 2026"),"")</f>
        <v/>
      </c>
      <c r="E14" s="122">
        <f>IF(A14&lt;&gt;"",COUNTIFS('📋 Suspens'!E:E,A14,'📋 Suspens'!O:O,"April 2026"),"")</f>
        <v/>
      </c>
      <c r="F14" s="122">
        <f>IF(A14&lt;&gt;"",COUNTIFS('📋 Suspens'!E:E,A14,'📋 Suspens'!O:O,"May 2026"),"")</f>
        <v/>
      </c>
      <c r="G14" s="122">
        <f>IF(A14&lt;&gt;"",COUNTIFS('📋 Suspens'!E:E,A14,'📋 Suspens'!O:O,"June 2026"),"")</f>
        <v/>
      </c>
      <c r="H14" s="122">
        <f>IF(A14&lt;&gt;"",COUNTIFS('📋 Suspens'!E:E,A14,'📋 Suspens'!O:O,"July 2026"),"")</f>
        <v/>
      </c>
      <c r="I14" s="122">
        <f>IF(A14&lt;&gt;"",COUNTIFS('📋 Suspens'!E:E,A14,'📋 Suspens'!O:O,"August 2026"),"")</f>
        <v/>
      </c>
      <c r="J14" s="122">
        <f>IF(A14&lt;&gt;"",COUNTIFS('📋 Suspens'!E:E,A14,'📋 Suspens'!O:O,"September 2026"),"")</f>
        <v/>
      </c>
      <c r="K14" s="122">
        <f>IF(A14&lt;&gt;"",COUNTIFS('📋 Suspens'!E:E,A14,'📋 Suspens'!O:O,"October 2026"),"")</f>
        <v/>
      </c>
      <c r="L14" s="122">
        <f>IF(A14&lt;&gt;"",COUNTIFS('📋 Suspens'!E:E,A14,'📋 Suspens'!O:O,"November 2026"),"")</f>
        <v/>
      </c>
      <c r="M14" s="122">
        <f>IF(A14&lt;&gt;"",COUNTIFS('📋 Suspens'!E:E,A14,'📋 Suspens'!O:O,"December 2026"),"")</f>
        <v/>
      </c>
    </row>
    <row r="15" ht="21.75" customHeight="1" s="85">
      <c r="A15" s="155">
        <f>IF('⚙️ Parametres'!C5&lt;&gt;"",'⚙️ Parametres'!C5,"")</f>
        <v/>
      </c>
      <c r="B15" s="115">
        <f>IF(A15&lt;&gt;"",COUNTIFS('📋 Suspens'!E:E,A15,'📋 Suspens'!O:O,"January 2026"),"")</f>
        <v/>
      </c>
      <c r="C15" s="115">
        <f>IF(A15&lt;&gt;"",COUNTIFS('📋 Suspens'!E:E,A15,'📋 Suspens'!O:O,"February 2026"),"")</f>
        <v/>
      </c>
      <c r="D15" s="115">
        <f>IF(A15&lt;&gt;"",COUNTIFS('📋 Suspens'!E:E,A15,'📋 Suspens'!O:O,"March 2026"),"")</f>
        <v/>
      </c>
      <c r="E15" s="115">
        <f>IF(A15&lt;&gt;"",COUNTIFS('📋 Suspens'!E:E,A15,'📋 Suspens'!O:O,"April 2026"),"")</f>
        <v/>
      </c>
      <c r="F15" s="115">
        <f>IF(A15&lt;&gt;"",COUNTIFS('📋 Suspens'!E:E,A15,'📋 Suspens'!O:O,"May 2026"),"")</f>
        <v/>
      </c>
      <c r="G15" s="115">
        <f>IF(A15&lt;&gt;"",COUNTIFS('📋 Suspens'!E:E,A15,'📋 Suspens'!O:O,"June 2026"),"")</f>
        <v/>
      </c>
      <c r="H15" s="115">
        <f>IF(A15&lt;&gt;"",COUNTIFS('📋 Suspens'!E:E,A15,'📋 Suspens'!O:O,"July 2026"),"")</f>
        <v/>
      </c>
      <c r="I15" s="115">
        <f>IF(A15&lt;&gt;"",COUNTIFS('📋 Suspens'!E:E,A15,'📋 Suspens'!O:O,"August 2026"),"")</f>
        <v/>
      </c>
      <c r="J15" s="115">
        <f>IF(A15&lt;&gt;"",COUNTIFS('📋 Suspens'!E:E,A15,'📋 Suspens'!O:O,"September 2026"),"")</f>
        <v/>
      </c>
      <c r="K15" s="115">
        <f>IF(A15&lt;&gt;"",COUNTIFS('📋 Suspens'!E:E,A15,'📋 Suspens'!O:O,"October 2026"),"")</f>
        <v/>
      </c>
      <c r="L15" s="115">
        <f>IF(A15&lt;&gt;"",COUNTIFS('📋 Suspens'!E:E,A15,'📋 Suspens'!O:O,"November 2026"),"")</f>
        <v/>
      </c>
      <c r="M15" s="115">
        <f>IF(A15&lt;&gt;"",COUNTIFS('📋 Suspens'!E:E,A15,'📋 Suspens'!O:O,"December 2026"),"")</f>
        <v/>
      </c>
    </row>
    <row r="16" ht="21.75" customHeight="1" s="85">
      <c r="A16" s="151">
        <f>IF('⚙️ Parametres'!C6&lt;&gt;"",'⚙️ Parametres'!C6,"")</f>
        <v/>
      </c>
      <c r="B16" s="122">
        <f>IF(A16&lt;&gt;"",COUNTIFS('📋 Suspens'!E:E,A16,'📋 Suspens'!O:O,"January 2026"),"")</f>
        <v/>
      </c>
      <c r="C16" s="122">
        <f>IF(A16&lt;&gt;"",COUNTIFS('📋 Suspens'!E:E,A16,'📋 Suspens'!O:O,"February 2026"),"")</f>
        <v/>
      </c>
      <c r="D16" s="122">
        <f>IF(A16&lt;&gt;"",COUNTIFS('📋 Suspens'!E:E,A16,'📋 Suspens'!O:O,"March 2026"),"")</f>
        <v/>
      </c>
      <c r="E16" s="122">
        <f>IF(A16&lt;&gt;"",COUNTIFS('📋 Suspens'!E:E,A16,'📋 Suspens'!O:O,"April 2026"),"")</f>
        <v/>
      </c>
      <c r="F16" s="122">
        <f>IF(A16&lt;&gt;"",COUNTIFS('📋 Suspens'!E:E,A16,'📋 Suspens'!O:O,"May 2026"),"")</f>
        <v/>
      </c>
      <c r="G16" s="122">
        <f>IF(A16&lt;&gt;"",COUNTIFS('📋 Suspens'!E:E,A16,'📋 Suspens'!O:O,"June 2026"),"")</f>
        <v/>
      </c>
      <c r="H16" s="122">
        <f>IF(A16&lt;&gt;"",COUNTIFS('📋 Suspens'!E:E,A16,'📋 Suspens'!O:O,"July 2026"),"")</f>
        <v/>
      </c>
      <c r="I16" s="122">
        <f>IF(A16&lt;&gt;"",COUNTIFS('📋 Suspens'!E:E,A16,'📋 Suspens'!O:O,"August 2026"),"")</f>
        <v/>
      </c>
      <c r="J16" s="122">
        <f>IF(A16&lt;&gt;"",COUNTIFS('📋 Suspens'!E:E,A16,'📋 Suspens'!O:O,"September 2026"),"")</f>
        <v/>
      </c>
      <c r="K16" s="122">
        <f>IF(A16&lt;&gt;"",COUNTIFS('📋 Suspens'!E:E,A16,'📋 Suspens'!O:O,"October 2026"),"")</f>
        <v/>
      </c>
      <c r="L16" s="122">
        <f>IF(A16&lt;&gt;"",COUNTIFS('📋 Suspens'!E:E,A16,'📋 Suspens'!O:O,"November 2026"),"")</f>
        <v/>
      </c>
      <c r="M16" s="122">
        <f>IF(A16&lt;&gt;"",COUNTIFS('📋 Suspens'!E:E,A16,'📋 Suspens'!O:O,"December 2026"),"")</f>
        <v/>
      </c>
    </row>
    <row r="17" ht="21.75" customHeight="1" s="85">
      <c r="A17" s="155">
        <f>IF('⚙️ Parametres'!C7&lt;&gt;"",'⚙️ Parametres'!C7,"")</f>
        <v/>
      </c>
      <c r="B17" s="115">
        <f>IF(A17&lt;&gt;"",COUNTIFS('📋 Suspens'!E:E,A17,'📋 Suspens'!O:O,"January 2026"),"")</f>
        <v/>
      </c>
      <c r="C17" s="115">
        <f>IF(A17&lt;&gt;"",COUNTIFS('📋 Suspens'!E:E,A17,'📋 Suspens'!O:O,"February 2026"),"")</f>
        <v/>
      </c>
      <c r="D17" s="115">
        <f>IF(A17&lt;&gt;"",COUNTIFS('📋 Suspens'!E:E,A17,'📋 Suspens'!O:O,"March 2026"),"")</f>
        <v/>
      </c>
      <c r="E17" s="115">
        <f>IF(A17&lt;&gt;"",COUNTIFS('📋 Suspens'!E:E,A17,'📋 Suspens'!O:O,"April 2026"),"")</f>
        <v/>
      </c>
      <c r="F17" s="115">
        <f>IF(A17&lt;&gt;"",COUNTIFS('📋 Suspens'!E:E,A17,'📋 Suspens'!O:O,"May 2026"),"")</f>
        <v/>
      </c>
      <c r="G17" s="115">
        <f>IF(A17&lt;&gt;"",COUNTIFS('📋 Suspens'!E:E,A17,'📋 Suspens'!O:O,"June 2026"),"")</f>
        <v/>
      </c>
      <c r="H17" s="115">
        <f>IF(A17&lt;&gt;"",COUNTIFS('📋 Suspens'!E:E,A17,'📋 Suspens'!O:O,"July 2026"),"")</f>
        <v/>
      </c>
      <c r="I17" s="115">
        <f>IF(A17&lt;&gt;"",COUNTIFS('📋 Suspens'!E:E,A17,'📋 Suspens'!O:O,"August 2026"),"")</f>
        <v/>
      </c>
      <c r="J17" s="115">
        <f>IF(A17&lt;&gt;"",COUNTIFS('📋 Suspens'!E:E,A17,'📋 Suspens'!O:O,"September 2026"),"")</f>
        <v/>
      </c>
      <c r="K17" s="115">
        <f>IF(A17&lt;&gt;"",COUNTIFS('📋 Suspens'!E:E,A17,'📋 Suspens'!O:O,"October 2026"),"")</f>
        <v/>
      </c>
      <c r="L17" s="115">
        <f>IF(A17&lt;&gt;"",COUNTIFS('📋 Suspens'!E:E,A17,'📋 Suspens'!O:O,"November 2026"),"")</f>
        <v/>
      </c>
      <c r="M17" s="115">
        <f>IF(A17&lt;&gt;"",COUNTIFS('📋 Suspens'!E:E,A17,'📋 Suspens'!O:O,"December 2026"),"")</f>
        <v/>
      </c>
    </row>
    <row r="18" ht="21.75" customHeight="1" s="85">
      <c r="A18" s="151">
        <f>IF('⚙️ Parametres'!C8&lt;&gt;"",'⚙️ Parametres'!C8,"")</f>
        <v/>
      </c>
      <c r="B18" s="122">
        <f>IF(A18&lt;&gt;"",COUNTIFS('📋 Suspens'!E:E,A18,'📋 Suspens'!O:O,"January 2026"),"")</f>
        <v/>
      </c>
      <c r="C18" s="122">
        <f>IF(A18&lt;&gt;"",COUNTIFS('📋 Suspens'!E:E,A18,'📋 Suspens'!O:O,"February 2026"),"")</f>
        <v/>
      </c>
      <c r="D18" s="122">
        <f>IF(A18&lt;&gt;"",COUNTIFS('📋 Suspens'!E:E,A18,'📋 Suspens'!O:O,"March 2026"),"")</f>
        <v/>
      </c>
      <c r="E18" s="122">
        <f>IF(A18&lt;&gt;"",COUNTIFS('📋 Suspens'!E:E,A18,'📋 Suspens'!O:O,"April 2026"),"")</f>
        <v/>
      </c>
      <c r="F18" s="122">
        <f>IF(A18&lt;&gt;"",COUNTIFS('📋 Suspens'!E:E,A18,'📋 Suspens'!O:O,"May 2026"),"")</f>
        <v/>
      </c>
      <c r="G18" s="122">
        <f>IF(A18&lt;&gt;"",COUNTIFS('📋 Suspens'!E:E,A18,'📋 Suspens'!O:O,"June 2026"),"")</f>
        <v/>
      </c>
      <c r="H18" s="122">
        <f>IF(A18&lt;&gt;"",COUNTIFS('📋 Suspens'!E:E,A18,'📋 Suspens'!O:O,"July 2026"),"")</f>
        <v/>
      </c>
      <c r="I18" s="122">
        <f>IF(A18&lt;&gt;"",COUNTIFS('📋 Suspens'!E:E,A18,'📋 Suspens'!O:O,"August 2026"),"")</f>
        <v/>
      </c>
      <c r="J18" s="122">
        <f>IF(A18&lt;&gt;"",COUNTIFS('📋 Suspens'!E:E,A18,'📋 Suspens'!O:O,"September 2026"),"")</f>
        <v/>
      </c>
      <c r="K18" s="122">
        <f>IF(A18&lt;&gt;"",COUNTIFS('📋 Suspens'!E:E,A18,'📋 Suspens'!O:O,"October 2026"),"")</f>
        <v/>
      </c>
      <c r="L18" s="122">
        <f>IF(A18&lt;&gt;"",COUNTIFS('📋 Suspens'!E:E,A18,'📋 Suspens'!O:O,"November 2026"),"")</f>
        <v/>
      </c>
      <c r="M18" s="122">
        <f>IF(A18&lt;&gt;"",COUNTIFS('📋 Suspens'!E:E,A18,'📋 Suspens'!O:O,"December 2026"),"")</f>
        <v/>
      </c>
    </row>
    <row r="19" ht="21.75" customHeight="1" s="85">
      <c r="A19" s="155">
        <f>IF('⚙️ Parametres'!C9&lt;&gt;"",'⚙️ Parametres'!C9,"")</f>
        <v/>
      </c>
      <c r="B19" s="115">
        <f>IF(A19&lt;&gt;"",COUNTIFS('📋 Suspens'!E:E,A19,'📋 Suspens'!O:O,"January 2026"),"")</f>
        <v/>
      </c>
      <c r="C19" s="115">
        <f>IF(A19&lt;&gt;"",COUNTIFS('📋 Suspens'!E:E,A19,'📋 Suspens'!O:O,"February 2026"),"")</f>
        <v/>
      </c>
      <c r="D19" s="115">
        <f>IF(A19&lt;&gt;"",COUNTIFS('📋 Suspens'!E:E,A19,'📋 Suspens'!O:O,"March 2026"),"")</f>
        <v/>
      </c>
      <c r="E19" s="115">
        <f>IF(A19&lt;&gt;"",COUNTIFS('📋 Suspens'!E:E,A19,'📋 Suspens'!O:O,"April 2026"),"")</f>
        <v/>
      </c>
      <c r="F19" s="115">
        <f>IF(A19&lt;&gt;"",COUNTIFS('📋 Suspens'!E:E,A19,'📋 Suspens'!O:O,"May 2026"),"")</f>
        <v/>
      </c>
      <c r="G19" s="115">
        <f>IF(A19&lt;&gt;"",COUNTIFS('📋 Suspens'!E:E,A19,'📋 Suspens'!O:O,"June 2026"),"")</f>
        <v/>
      </c>
      <c r="H19" s="115">
        <f>IF(A19&lt;&gt;"",COUNTIFS('📋 Suspens'!E:E,A19,'📋 Suspens'!O:O,"July 2026"),"")</f>
        <v/>
      </c>
      <c r="I19" s="115">
        <f>IF(A19&lt;&gt;"",COUNTIFS('📋 Suspens'!E:E,A19,'📋 Suspens'!O:O,"August 2026"),"")</f>
        <v/>
      </c>
      <c r="J19" s="115">
        <f>IF(A19&lt;&gt;"",COUNTIFS('📋 Suspens'!E:E,A19,'📋 Suspens'!O:O,"September 2026"),"")</f>
        <v/>
      </c>
      <c r="K19" s="115">
        <f>IF(A19&lt;&gt;"",COUNTIFS('📋 Suspens'!E:E,A19,'📋 Suspens'!O:O,"October 2026"),"")</f>
        <v/>
      </c>
      <c r="L19" s="115">
        <f>IF(A19&lt;&gt;"",COUNTIFS('📋 Suspens'!E:E,A19,'📋 Suspens'!O:O,"November 2026"),"")</f>
        <v/>
      </c>
      <c r="M19" s="115">
        <f>IF(A19&lt;&gt;"",COUNTIFS('📋 Suspens'!E:E,A19,'📋 Suspens'!O:O,"December 2026"),"")</f>
        <v/>
      </c>
    </row>
    <row r="20" ht="21.75" customHeight="1" s="85">
      <c r="A20" s="151">
        <f>IF('⚙️ Parametres'!C10&lt;&gt;"",'⚙️ Parametres'!C10,"")</f>
        <v/>
      </c>
      <c r="B20" s="122">
        <f>IF(A20&lt;&gt;"",COUNTIFS('📋 Suspens'!E:E,A20,'📋 Suspens'!O:O,"January 2026"),"")</f>
        <v/>
      </c>
      <c r="C20" s="122">
        <f>IF(A20&lt;&gt;"",COUNTIFS('📋 Suspens'!E:E,A20,'📋 Suspens'!O:O,"February 2026"),"")</f>
        <v/>
      </c>
      <c r="D20" s="122">
        <f>IF(A20&lt;&gt;"",COUNTIFS('📋 Suspens'!E:E,A20,'📋 Suspens'!O:O,"March 2026"),"")</f>
        <v/>
      </c>
      <c r="E20" s="122">
        <f>IF(A20&lt;&gt;"",COUNTIFS('📋 Suspens'!E:E,A20,'📋 Suspens'!O:O,"April 2026"),"")</f>
        <v/>
      </c>
      <c r="F20" s="122">
        <f>IF(A20&lt;&gt;"",COUNTIFS('📋 Suspens'!E:E,A20,'📋 Suspens'!O:O,"May 2026"),"")</f>
        <v/>
      </c>
      <c r="G20" s="122">
        <f>IF(A20&lt;&gt;"",COUNTIFS('📋 Suspens'!E:E,A20,'📋 Suspens'!O:O,"June 2026"),"")</f>
        <v/>
      </c>
      <c r="H20" s="122">
        <f>IF(A20&lt;&gt;"",COUNTIFS('📋 Suspens'!E:E,A20,'📋 Suspens'!O:O,"July 2026"),"")</f>
        <v/>
      </c>
      <c r="I20" s="122">
        <f>IF(A20&lt;&gt;"",COUNTIFS('📋 Suspens'!E:E,A20,'📋 Suspens'!O:O,"August 2026"),"")</f>
        <v/>
      </c>
      <c r="J20" s="122">
        <f>IF(A20&lt;&gt;"",COUNTIFS('📋 Suspens'!E:E,A20,'📋 Suspens'!O:O,"September 2026"),"")</f>
        <v/>
      </c>
      <c r="K20" s="122">
        <f>IF(A20&lt;&gt;"",COUNTIFS('📋 Suspens'!E:E,A20,'📋 Suspens'!O:O,"October 2026"),"")</f>
        <v/>
      </c>
      <c r="L20" s="122">
        <f>IF(A20&lt;&gt;"",COUNTIFS('📋 Suspens'!E:E,A20,'📋 Suspens'!O:O,"November 2026"),"")</f>
        <v/>
      </c>
      <c r="M20" s="122">
        <f>IF(A20&lt;&gt;"",COUNTIFS('📋 Suspens'!E:E,A20,'📋 Suspens'!O:O,"December 2026"),"")</f>
        <v/>
      </c>
    </row>
    <row r="21" ht="21.75" customHeight="1" s="85">
      <c r="A21" s="155">
        <f>IF('⚙️ Parametres'!C11&lt;&gt;"",'⚙️ Parametres'!C11,"")</f>
        <v/>
      </c>
      <c r="B21" s="115">
        <f>IF(A21&lt;&gt;"",COUNTIFS('📋 Suspens'!E:E,A21,'📋 Suspens'!O:O,"January 2026"),"")</f>
        <v/>
      </c>
      <c r="C21" s="115">
        <f>IF(A21&lt;&gt;"",COUNTIFS('📋 Suspens'!E:E,A21,'📋 Suspens'!O:O,"February 2026"),"")</f>
        <v/>
      </c>
      <c r="D21" s="115">
        <f>IF(A21&lt;&gt;"",COUNTIFS('📋 Suspens'!E:E,A21,'📋 Suspens'!O:O,"March 2026"),"")</f>
        <v/>
      </c>
      <c r="E21" s="115">
        <f>IF(A21&lt;&gt;"",COUNTIFS('📋 Suspens'!E:E,A21,'📋 Suspens'!O:O,"April 2026"),"")</f>
        <v/>
      </c>
      <c r="F21" s="115">
        <f>IF(A21&lt;&gt;"",COUNTIFS('📋 Suspens'!E:E,A21,'📋 Suspens'!O:O,"May 2026"),"")</f>
        <v/>
      </c>
      <c r="G21" s="115">
        <f>IF(A21&lt;&gt;"",COUNTIFS('📋 Suspens'!E:E,A21,'📋 Suspens'!O:O,"June 2026"),"")</f>
        <v/>
      </c>
      <c r="H21" s="115">
        <f>IF(A21&lt;&gt;"",COUNTIFS('📋 Suspens'!E:E,A21,'📋 Suspens'!O:O,"July 2026"),"")</f>
        <v/>
      </c>
      <c r="I21" s="115">
        <f>IF(A21&lt;&gt;"",COUNTIFS('📋 Suspens'!E:E,A21,'📋 Suspens'!O:O,"August 2026"),"")</f>
        <v/>
      </c>
      <c r="J21" s="115">
        <f>IF(A21&lt;&gt;"",COUNTIFS('📋 Suspens'!E:E,A21,'📋 Suspens'!O:O,"September 2026"),"")</f>
        <v/>
      </c>
      <c r="K21" s="115">
        <f>IF(A21&lt;&gt;"",COUNTIFS('📋 Suspens'!E:E,A21,'📋 Suspens'!O:O,"October 2026"),"")</f>
        <v/>
      </c>
      <c r="L21" s="115">
        <f>IF(A21&lt;&gt;"",COUNTIFS('📋 Suspens'!E:E,A21,'📋 Suspens'!O:O,"November 2026"),"")</f>
        <v/>
      </c>
      <c r="M21" s="115">
        <f>IF(A21&lt;&gt;"",COUNTIFS('📋 Suspens'!E:E,A21,'📋 Suspens'!O:O,"December 2026"),"")</f>
        <v/>
      </c>
    </row>
    <row r="22" ht="21.75" customHeight="1" s="85">
      <c r="A22" s="151">
        <f>IF('⚙️ Parametres'!C12&lt;&gt;"",'⚙️ Parametres'!C12,"")</f>
        <v/>
      </c>
      <c r="B22" s="122">
        <f>IF(A22&lt;&gt;"",COUNTIFS('📋 Suspens'!E:E,A22,'📋 Suspens'!O:O,"January 2026"),"")</f>
        <v/>
      </c>
      <c r="C22" s="122">
        <f>IF(A22&lt;&gt;"",COUNTIFS('📋 Suspens'!E:E,A22,'📋 Suspens'!O:O,"February 2026"),"")</f>
        <v/>
      </c>
      <c r="D22" s="122">
        <f>IF(A22&lt;&gt;"",COUNTIFS('📋 Suspens'!E:E,A22,'📋 Suspens'!O:O,"March 2026"),"")</f>
        <v/>
      </c>
      <c r="E22" s="122">
        <f>IF(A22&lt;&gt;"",COUNTIFS('📋 Suspens'!E:E,A22,'📋 Suspens'!O:O,"April 2026"),"")</f>
        <v/>
      </c>
      <c r="F22" s="122">
        <f>IF(A22&lt;&gt;"",COUNTIFS('📋 Suspens'!E:E,A22,'📋 Suspens'!O:O,"May 2026"),"")</f>
        <v/>
      </c>
      <c r="G22" s="122">
        <f>IF(A22&lt;&gt;"",COUNTIFS('📋 Suspens'!E:E,A22,'📋 Suspens'!O:O,"June 2026"),"")</f>
        <v/>
      </c>
      <c r="H22" s="122">
        <f>IF(A22&lt;&gt;"",COUNTIFS('📋 Suspens'!E:E,A22,'📋 Suspens'!O:O,"July 2026"),"")</f>
        <v/>
      </c>
      <c r="I22" s="122">
        <f>IF(A22&lt;&gt;"",COUNTIFS('📋 Suspens'!E:E,A22,'📋 Suspens'!O:O,"August 2026"),"")</f>
        <v/>
      </c>
      <c r="J22" s="122">
        <f>IF(A22&lt;&gt;"",COUNTIFS('📋 Suspens'!E:E,A22,'📋 Suspens'!O:O,"September 2026"),"")</f>
        <v/>
      </c>
      <c r="K22" s="122">
        <f>IF(A22&lt;&gt;"",COUNTIFS('📋 Suspens'!E:E,A22,'📋 Suspens'!O:O,"October 2026"),"")</f>
        <v/>
      </c>
      <c r="L22" s="122">
        <f>IF(A22&lt;&gt;"",COUNTIFS('📋 Suspens'!E:E,A22,'📋 Suspens'!O:O,"November 2026"),"")</f>
        <v/>
      </c>
      <c r="M22" s="122">
        <f>IF(A22&lt;&gt;"",COUNTIFS('📋 Suspens'!E:E,A22,'📋 Suspens'!O:O,"December 2026"),"")</f>
        <v/>
      </c>
    </row>
    <row r="23" ht="21.75" customHeight="1" s="85">
      <c r="A23" s="155">
        <f>IF('⚙️ Parametres'!C13&lt;&gt;"",'⚙️ Parametres'!C13,"")</f>
        <v/>
      </c>
      <c r="B23" s="115">
        <f>IF(A23&lt;&gt;"",COUNTIFS('📋 Suspens'!E:E,A23,'📋 Suspens'!O:O,"January 2026"),"")</f>
        <v/>
      </c>
      <c r="C23" s="115">
        <f>IF(A23&lt;&gt;"",COUNTIFS('📋 Suspens'!E:E,A23,'📋 Suspens'!O:O,"February 2026"),"")</f>
        <v/>
      </c>
      <c r="D23" s="115">
        <f>IF(A23&lt;&gt;"",COUNTIFS('📋 Suspens'!E:E,A23,'📋 Suspens'!O:O,"March 2026"),"")</f>
        <v/>
      </c>
      <c r="E23" s="115">
        <f>IF(A23&lt;&gt;"",COUNTIFS('📋 Suspens'!E:E,A23,'📋 Suspens'!O:O,"April 2026"),"")</f>
        <v/>
      </c>
      <c r="F23" s="115">
        <f>IF(A23&lt;&gt;"",COUNTIFS('📋 Suspens'!E:E,A23,'📋 Suspens'!O:O,"May 2026"),"")</f>
        <v/>
      </c>
      <c r="G23" s="115">
        <f>IF(A23&lt;&gt;"",COUNTIFS('📋 Suspens'!E:E,A23,'📋 Suspens'!O:O,"June 2026"),"")</f>
        <v/>
      </c>
      <c r="H23" s="115">
        <f>IF(A23&lt;&gt;"",COUNTIFS('📋 Suspens'!E:E,A23,'📋 Suspens'!O:O,"July 2026"),"")</f>
        <v/>
      </c>
      <c r="I23" s="115">
        <f>IF(A23&lt;&gt;"",COUNTIFS('📋 Suspens'!E:E,A23,'📋 Suspens'!O:O,"August 2026"),"")</f>
        <v/>
      </c>
      <c r="J23" s="115">
        <f>IF(A23&lt;&gt;"",COUNTIFS('📋 Suspens'!E:E,A23,'📋 Suspens'!O:O,"September 2026"),"")</f>
        <v/>
      </c>
      <c r="K23" s="115">
        <f>IF(A23&lt;&gt;"",COUNTIFS('📋 Suspens'!E:E,A23,'📋 Suspens'!O:O,"October 2026"),"")</f>
        <v/>
      </c>
      <c r="L23" s="115">
        <f>IF(A23&lt;&gt;"",COUNTIFS('📋 Suspens'!E:E,A23,'📋 Suspens'!O:O,"November 2026"),"")</f>
        <v/>
      </c>
      <c r="M23" s="115">
        <f>IF(A23&lt;&gt;"",COUNTIFS('📋 Suspens'!E:E,A23,'📋 Suspens'!O:O,"December 2026"),"")</f>
        <v/>
      </c>
    </row>
    <row r="24" ht="21.75" customHeight="1" s="85">
      <c r="A24" s="151">
        <f>IF('⚙️ Parametres'!C14&lt;&gt;"",'⚙️ Parametres'!C14,"")</f>
        <v/>
      </c>
      <c r="B24" s="122">
        <f>IF(A24&lt;&gt;"",COUNTIFS('📋 Suspens'!E:E,A24,'📋 Suspens'!O:O,"January 2026"),"")</f>
        <v/>
      </c>
      <c r="C24" s="122">
        <f>IF(A24&lt;&gt;"",COUNTIFS('📋 Suspens'!E:E,A24,'📋 Suspens'!O:O,"February 2026"),"")</f>
        <v/>
      </c>
      <c r="D24" s="122">
        <f>IF(A24&lt;&gt;"",COUNTIFS('📋 Suspens'!E:E,A24,'📋 Suspens'!O:O,"March 2026"),"")</f>
        <v/>
      </c>
      <c r="E24" s="122">
        <f>IF(A24&lt;&gt;"",COUNTIFS('📋 Suspens'!E:E,A24,'📋 Suspens'!O:O,"April 2026"),"")</f>
        <v/>
      </c>
      <c r="F24" s="122">
        <f>IF(A24&lt;&gt;"",COUNTIFS('📋 Suspens'!E:E,A24,'📋 Suspens'!O:O,"May 2026"),"")</f>
        <v/>
      </c>
      <c r="G24" s="122">
        <f>IF(A24&lt;&gt;"",COUNTIFS('📋 Suspens'!E:E,A24,'📋 Suspens'!O:O,"June 2026"),"")</f>
        <v/>
      </c>
      <c r="H24" s="122">
        <f>IF(A24&lt;&gt;"",COUNTIFS('📋 Suspens'!E:E,A24,'📋 Suspens'!O:O,"July 2026"),"")</f>
        <v/>
      </c>
      <c r="I24" s="122">
        <f>IF(A24&lt;&gt;"",COUNTIFS('📋 Suspens'!E:E,A24,'📋 Suspens'!O:O,"August 2026"),"")</f>
        <v/>
      </c>
      <c r="J24" s="122">
        <f>IF(A24&lt;&gt;"",COUNTIFS('📋 Suspens'!E:E,A24,'📋 Suspens'!O:O,"September 2026"),"")</f>
        <v/>
      </c>
      <c r="K24" s="122">
        <f>IF(A24&lt;&gt;"",COUNTIFS('📋 Suspens'!E:E,A24,'📋 Suspens'!O:O,"October 2026"),"")</f>
        <v/>
      </c>
      <c r="L24" s="122">
        <f>IF(A24&lt;&gt;"",COUNTIFS('📋 Suspens'!E:E,A24,'📋 Suspens'!O:O,"November 2026"),"")</f>
        <v/>
      </c>
      <c r="M24" s="122">
        <f>IF(A24&lt;&gt;"",COUNTIFS('📋 Suspens'!E:E,A24,'📋 Suspens'!O:O,"December 2026"),"")</f>
        <v/>
      </c>
    </row>
    <row r="25" ht="21.75" customHeight="1" s="85">
      <c r="A25" s="155">
        <f>IF('⚙️ Parametres'!C15&lt;&gt;"",'⚙️ Parametres'!C15,"")</f>
        <v/>
      </c>
      <c r="B25" s="115">
        <f>IF(A25&lt;&gt;"",COUNTIFS('📋 Suspens'!E:E,A25,'📋 Suspens'!O:O,"January 2026"),"")</f>
        <v/>
      </c>
      <c r="C25" s="115">
        <f>IF(A25&lt;&gt;"",COUNTIFS('📋 Suspens'!E:E,A25,'📋 Suspens'!O:O,"February 2026"),"")</f>
        <v/>
      </c>
      <c r="D25" s="115">
        <f>IF(A25&lt;&gt;"",COUNTIFS('📋 Suspens'!E:E,A25,'📋 Suspens'!O:O,"March 2026"),"")</f>
        <v/>
      </c>
      <c r="E25" s="115">
        <f>IF(A25&lt;&gt;"",COUNTIFS('📋 Suspens'!E:E,A25,'📋 Suspens'!O:O,"April 2026"),"")</f>
        <v/>
      </c>
      <c r="F25" s="115">
        <f>IF(A25&lt;&gt;"",COUNTIFS('📋 Suspens'!E:E,A25,'📋 Suspens'!O:O,"May 2026"),"")</f>
        <v/>
      </c>
      <c r="G25" s="115">
        <f>IF(A25&lt;&gt;"",COUNTIFS('📋 Suspens'!E:E,A25,'📋 Suspens'!O:O,"June 2026"),"")</f>
        <v/>
      </c>
      <c r="H25" s="115">
        <f>IF(A25&lt;&gt;"",COUNTIFS('📋 Suspens'!E:E,A25,'📋 Suspens'!O:O,"July 2026"),"")</f>
        <v/>
      </c>
      <c r="I25" s="115">
        <f>IF(A25&lt;&gt;"",COUNTIFS('📋 Suspens'!E:E,A25,'📋 Suspens'!O:O,"August 2026"),"")</f>
        <v/>
      </c>
      <c r="J25" s="115">
        <f>IF(A25&lt;&gt;"",COUNTIFS('📋 Suspens'!E:E,A25,'📋 Suspens'!O:O,"September 2026"),"")</f>
        <v/>
      </c>
      <c r="K25" s="115">
        <f>IF(A25&lt;&gt;"",COUNTIFS('📋 Suspens'!E:E,A25,'📋 Suspens'!O:O,"October 2026"),"")</f>
        <v/>
      </c>
      <c r="L25" s="115">
        <f>IF(A25&lt;&gt;"",COUNTIFS('📋 Suspens'!E:E,A25,'📋 Suspens'!O:O,"November 2026"),"")</f>
        <v/>
      </c>
      <c r="M25" s="115">
        <f>IF(A25&lt;&gt;"",COUNTIFS('📋 Suspens'!E:E,A25,'📋 Suspens'!O:O,"December 2026"),"")</f>
        <v/>
      </c>
    </row>
    <row r="26" ht="21.75" customHeight="1" s="85">
      <c r="A26" s="151">
        <f>IF('⚙️ Parametres'!C16&lt;&gt;"",'⚙️ Parametres'!C16,"")</f>
        <v/>
      </c>
      <c r="B26" s="122">
        <f>IF(A26&lt;&gt;"",COUNTIFS('📋 Suspens'!E:E,A26,'📋 Suspens'!O:O,"January 2026"),"")</f>
        <v/>
      </c>
      <c r="C26" s="122">
        <f>IF(A26&lt;&gt;"",COUNTIFS('📋 Suspens'!E:E,A26,'📋 Suspens'!O:O,"February 2026"),"")</f>
        <v/>
      </c>
      <c r="D26" s="122">
        <f>IF(A26&lt;&gt;"",COUNTIFS('📋 Suspens'!E:E,A26,'📋 Suspens'!O:O,"March 2026"),"")</f>
        <v/>
      </c>
      <c r="E26" s="122">
        <f>IF(A26&lt;&gt;"",COUNTIFS('📋 Suspens'!E:E,A26,'📋 Suspens'!O:O,"April 2026"),"")</f>
        <v/>
      </c>
      <c r="F26" s="122">
        <f>IF(A26&lt;&gt;"",COUNTIFS('📋 Suspens'!E:E,A26,'📋 Suspens'!O:O,"May 2026"),"")</f>
        <v/>
      </c>
      <c r="G26" s="122">
        <f>IF(A26&lt;&gt;"",COUNTIFS('📋 Suspens'!E:E,A26,'📋 Suspens'!O:O,"June 2026"),"")</f>
        <v/>
      </c>
      <c r="H26" s="122">
        <f>IF(A26&lt;&gt;"",COUNTIFS('📋 Suspens'!E:E,A26,'📋 Suspens'!O:O,"July 2026"),"")</f>
        <v/>
      </c>
      <c r="I26" s="122">
        <f>IF(A26&lt;&gt;"",COUNTIFS('📋 Suspens'!E:E,A26,'📋 Suspens'!O:O,"August 2026"),"")</f>
        <v/>
      </c>
      <c r="J26" s="122">
        <f>IF(A26&lt;&gt;"",COUNTIFS('📋 Suspens'!E:E,A26,'📋 Suspens'!O:O,"September 2026"),"")</f>
        <v/>
      </c>
      <c r="K26" s="122">
        <f>IF(A26&lt;&gt;"",COUNTIFS('📋 Suspens'!E:E,A26,'📋 Suspens'!O:O,"October 2026"),"")</f>
        <v/>
      </c>
      <c r="L26" s="122">
        <f>IF(A26&lt;&gt;"",COUNTIFS('📋 Suspens'!E:E,A26,'📋 Suspens'!O:O,"November 2026"),"")</f>
        <v/>
      </c>
      <c r="M26" s="122">
        <f>IF(A26&lt;&gt;"",COUNTIFS('📋 Suspens'!E:E,A26,'📋 Suspens'!O:O,"December 2026"),"")</f>
        <v/>
      </c>
    </row>
    <row r="27" ht="21.75" customHeight="1" s="85">
      <c r="A27" s="155">
        <f>IF('⚙️ Parametres'!C17&lt;&gt;"",'⚙️ Parametres'!C17,"")</f>
        <v/>
      </c>
      <c r="B27" s="115">
        <f>IF(A27&lt;&gt;"",COUNTIFS('📋 Suspens'!E:E,A27,'📋 Suspens'!O:O,"January 2026"),"")</f>
        <v/>
      </c>
      <c r="C27" s="115">
        <f>IF(A27&lt;&gt;"",COUNTIFS('📋 Suspens'!E:E,A27,'📋 Suspens'!O:O,"February 2026"),"")</f>
        <v/>
      </c>
      <c r="D27" s="115">
        <f>IF(A27&lt;&gt;"",COUNTIFS('📋 Suspens'!E:E,A27,'📋 Suspens'!O:O,"March 2026"),"")</f>
        <v/>
      </c>
      <c r="E27" s="115">
        <f>IF(A27&lt;&gt;"",COUNTIFS('📋 Suspens'!E:E,A27,'📋 Suspens'!O:O,"April 2026"),"")</f>
        <v/>
      </c>
      <c r="F27" s="115">
        <f>IF(A27&lt;&gt;"",COUNTIFS('📋 Suspens'!E:E,A27,'📋 Suspens'!O:O,"May 2026"),"")</f>
        <v/>
      </c>
      <c r="G27" s="115">
        <f>IF(A27&lt;&gt;"",COUNTIFS('📋 Suspens'!E:E,A27,'📋 Suspens'!O:O,"June 2026"),"")</f>
        <v/>
      </c>
      <c r="H27" s="115">
        <f>IF(A27&lt;&gt;"",COUNTIFS('📋 Suspens'!E:E,A27,'📋 Suspens'!O:O,"July 2026"),"")</f>
        <v/>
      </c>
      <c r="I27" s="115">
        <f>IF(A27&lt;&gt;"",COUNTIFS('📋 Suspens'!E:E,A27,'📋 Suspens'!O:O,"August 2026"),"")</f>
        <v/>
      </c>
      <c r="J27" s="115">
        <f>IF(A27&lt;&gt;"",COUNTIFS('📋 Suspens'!E:E,A27,'📋 Suspens'!O:O,"September 2026"),"")</f>
        <v/>
      </c>
      <c r="K27" s="115">
        <f>IF(A27&lt;&gt;"",COUNTIFS('📋 Suspens'!E:E,A27,'📋 Suspens'!O:O,"October 2026"),"")</f>
        <v/>
      </c>
      <c r="L27" s="115">
        <f>IF(A27&lt;&gt;"",COUNTIFS('📋 Suspens'!E:E,A27,'📋 Suspens'!O:O,"November 2026"),"")</f>
        <v/>
      </c>
      <c r="M27" s="115">
        <f>IF(A27&lt;&gt;"",COUNTIFS('📋 Suspens'!E:E,A27,'📋 Suspens'!O:O,"December 2026"),"")</f>
        <v/>
      </c>
    </row>
    <row r="28" ht="21.75" customHeight="1" s="85">
      <c r="A28" s="151">
        <f>IF('⚙️ Parametres'!C18&lt;&gt;"",'⚙️ Parametres'!C18,"")</f>
        <v/>
      </c>
      <c r="B28" s="122">
        <f>IF(A28&lt;&gt;"",COUNTIFS('📋 Suspens'!E:E,A28,'📋 Suspens'!O:O,"January 2026"),"")</f>
        <v/>
      </c>
      <c r="C28" s="122">
        <f>IF(A28&lt;&gt;"",COUNTIFS('📋 Suspens'!E:E,A28,'📋 Suspens'!O:O,"February 2026"),"")</f>
        <v/>
      </c>
      <c r="D28" s="122">
        <f>IF(A28&lt;&gt;"",COUNTIFS('📋 Suspens'!E:E,A28,'📋 Suspens'!O:O,"March 2026"),"")</f>
        <v/>
      </c>
      <c r="E28" s="122">
        <f>IF(A28&lt;&gt;"",COUNTIFS('📋 Suspens'!E:E,A28,'📋 Suspens'!O:O,"April 2026"),"")</f>
        <v/>
      </c>
      <c r="F28" s="122">
        <f>IF(A28&lt;&gt;"",COUNTIFS('📋 Suspens'!E:E,A28,'📋 Suspens'!O:O,"May 2026"),"")</f>
        <v/>
      </c>
      <c r="G28" s="122">
        <f>IF(A28&lt;&gt;"",COUNTIFS('📋 Suspens'!E:E,A28,'📋 Suspens'!O:O,"June 2026"),"")</f>
        <v/>
      </c>
      <c r="H28" s="122">
        <f>IF(A28&lt;&gt;"",COUNTIFS('📋 Suspens'!E:E,A28,'📋 Suspens'!O:O,"July 2026"),"")</f>
        <v/>
      </c>
      <c r="I28" s="122">
        <f>IF(A28&lt;&gt;"",COUNTIFS('📋 Suspens'!E:E,A28,'📋 Suspens'!O:O,"August 2026"),"")</f>
        <v/>
      </c>
      <c r="J28" s="122">
        <f>IF(A28&lt;&gt;"",COUNTIFS('📋 Suspens'!E:E,A28,'📋 Suspens'!O:O,"September 2026"),"")</f>
        <v/>
      </c>
      <c r="K28" s="122">
        <f>IF(A28&lt;&gt;"",COUNTIFS('📋 Suspens'!E:E,A28,'📋 Suspens'!O:O,"October 2026"),"")</f>
        <v/>
      </c>
      <c r="L28" s="122">
        <f>IF(A28&lt;&gt;"",COUNTIFS('📋 Suspens'!E:E,A28,'📋 Suspens'!O:O,"November 2026"),"")</f>
        <v/>
      </c>
      <c r="M28" s="122">
        <f>IF(A28&lt;&gt;"",COUNTIFS('📋 Suspens'!E:E,A28,'📋 Suspens'!O:O,"December 2026"),"")</f>
        <v/>
      </c>
    </row>
    <row r="29" ht="21.75" customHeight="1" s="85">
      <c r="A29" s="155">
        <f>IF('⚙️ Parametres'!C19&lt;&gt;"",'⚙️ Parametres'!C19,"")</f>
        <v/>
      </c>
      <c r="B29" s="115">
        <f>IF(A29&lt;&gt;"",COUNTIFS('📋 Suspens'!E:E,A29,'📋 Suspens'!O:O,"January 2026"),"")</f>
        <v/>
      </c>
      <c r="C29" s="115">
        <f>IF(A29&lt;&gt;"",COUNTIFS('📋 Suspens'!E:E,A29,'📋 Suspens'!O:O,"February 2026"),"")</f>
        <v/>
      </c>
      <c r="D29" s="115">
        <f>IF(A29&lt;&gt;"",COUNTIFS('📋 Suspens'!E:E,A29,'📋 Suspens'!O:O,"March 2026"),"")</f>
        <v/>
      </c>
      <c r="E29" s="115">
        <f>IF(A29&lt;&gt;"",COUNTIFS('📋 Suspens'!E:E,A29,'📋 Suspens'!O:O,"April 2026"),"")</f>
        <v/>
      </c>
      <c r="F29" s="115">
        <f>IF(A29&lt;&gt;"",COUNTIFS('📋 Suspens'!E:E,A29,'📋 Suspens'!O:O,"May 2026"),"")</f>
        <v/>
      </c>
      <c r="G29" s="115">
        <f>IF(A29&lt;&gt;"",COUNTIFS('📋 Suspens'!E:E,A29,'📋 Suspens'!O:O,"June 2026"),"")</f>
        <v/>
      </c>
      <c r="H29" s="115">
        <f>IF(A29&lt;&gt;"",COUNTIFS('📋 Suspens'!E:E,A29,'📋 Suspens'!O:O,"July 2026"),"")</f>
        <v/>
      </c>
      <c r="I29" s="115">
        <f>IF(A29&lt;&gt;"",COUNTIFS('📋 Suspens'!E:E,A29,'📋 Suspens'!O:O,"August 2026"),"")</f>
        <v/>
      </c>
      <c r="J29" s="115">
        <f>IF(A29&lt;&gt;"",COUNTIFS('📋 Suspens'!E:E,A29,'📋 Suspens'!O:O,"September 2026"),"")</f>
        <v/>
      </c>
      <c r="K29" s="115">
        <f>IF(A29&lt;&gt;"",COUNTIFS('📋 Suspens'!E:E,A29,'📋 Suspens'!O:O,"October 2026"),"")</f>
        <v/>
      </c>
      <c r="L29" s="115">
        <f>IF(A29&lt;&gt;"",COUNTIFS('📋 Suspens'!E:E,A29,'📋 Suspens'!O:O,"November 2026"),"")</f>
        <v/>
      </c>
      <c r="M29" s="115">
        <f>IF(A29&lt;&gt;"",COUNTIFS('📋 Suspens'!E:E,A29,'📋 Suspens'!O:O,"December 2026"),"")</f>
        <v/>
      </c>
    </row>
    <row r="30" ht="21.75" customHeight="1" s="85">
      <c r="A30" s="151">
        <f>IF('⚙️ Parametres'!C20&lt;&gt;"",'⚙️ Parametres'!C20,"")</f>
        <v/>
      </c>
      <c r="B30" s="122">
        <f>IF(A30&lt;&gt;"",COUNTIFS('📋 Suspens'!E:E,A30,'📋 Suspens'!O:O,"January 2026"),"")</f>
        <v/>
      </c>
      <c r="C30" s="122">
        <f>IF(A30&lt;&gt;"",COUNTIFS('📋 Suspens'!E:E,A30,'📋 Suspens'!O:O,"February 2026"),"")</f>
        <v/>
      </c>
      <c r="D30" s="122">
        <f>IF(A30&lt;&gt;"",COUNTIFS('📋 Suspens'!E:E,A30,'📋 Suspens'!O:O,"March 2026"),"")</f>
        <v/>
      </c>
      <c r="E30" s="122">
        <f>IF(A30&lt;&gt;"",COUNTIFS('📋 Suspens'!E:E,A30,'📋 Suspens'!O:O,"April 2026"),"")</f>
        <v/>
      </c>
      <c r="F30" s="122">
        <f>IF(A30&lt;&gt;"",COUNTIFS('📋 Suspens'!E:E,A30,'📋 Suspens'!O:O,"May 2026"),"")</f>
        <v/>
      </c>
      <c r="G30" s="122">
        <f>IF(A30&lt;&gt;"",COUNTIFS('📋 Suspens'!E:E,A30,'📋 Suspens'!O:O,"June 2026"),"")</f>
        <v/>
      </c>
      <c r="H30" s="122">
        <f>IF(A30&lt;&gt;"",COUNTIFS('📋 Suspens'!E:E,A30,'📋 Suspens'!O:O,"July 2026"),"")</f>
        <v/>
      </c>
      <c r="I30" s="122">
        <f>IF(A30&lt;&gt;"",COUNTIFS('📋 Suspens'!E:E,A30,'📋 Suspens'!O:O,"August 2026"),"")</f>
        <v/>
      </c>
      <c r="J30" s="122">
        <f>IF(A30&lt;&gt;"",COUNTIFS('📋 Suspens'!E:E,A30,'📋 Suspens'!O:O,"September 2026"),"")</f>
        <v/>
      </c>
      <c r="K30" s="122">
        <f>IF(A30&lt;&gt;"",COUNTIFS('📋 Suspens'!E:E,A30,'📋 Suspens'!O:O,"October 2026"),"")</f>
        <v/>
      </c>
      <c r="L30" s="122">
        <f>IF(A30&lt;&gt;"",COUNTIFS('📋 Suspens'!E:E,A30,'📋 Suspens'!O:O,"November 2026"),"")</f>
        <v/>
      </c>
      <c r="M30" s="122">
        <f>IF(A30&lt;&gt;"",COUNTIFS('📋 Suspens'!E:E,A30,'📋 Suspens'!O:O,"December 2026"),"")</f>
        <v/>
      </c>
    </row>
    <row r="31" ht="21.75" customHeight="1" s="85">
      <c r="A31" s="155">
        <f>IF('⚙️ Parametres'!C21&lt;&gt;"",'⚙️ Parametres'!C21,"")</f>
        <v/>
      </c>
      <c r="B31" s="115">
        <f>IF(A31&lt;&gt;"",COUNTIFS('📋 Suspens'!E:E,A31,'📋 Suspens'!O:O,"January 2026"),"")</f>
        <v/>
      </c>
      <c r="C31" s="115">
        <f>IF(A31&lt;&gt;"",COUNTIFS('📋 Suspens'!E:E,A31,'📋 Suspens'!O:O,"February 2026"),"")</f>
        <v/>
      </c>
      <c r="D31" s="115">
        <f>IF(A31&lt;&gt;"",COUNTIFS('📋 Suspens'!E:E,A31,'📋 Suspens'!O:O,"March 2026"),"")</f>
        <v/>
      </c>
      <c r="E31" s="115">
        <f>IF(A31&lt;&gt;"",COUNTIFS('📋 Suspens'!E:E,A31,'📋 Suspens'!O:O,"April 2026"),"")</f>
        <v/>
      </c>
      <c r="F31" s="115">
        <f>IF(A31&lt;&gt;"",COUNTIFS('📋 Suspens'!E:E,A31,'📋 Suspens'!O:O,"May 2026"),"")</f>
        <v/>
      </c>
      <c r="G31" s="115">
        <f>IF(A31&lt;&gt;"",COUNTIFS('📋 Suspens'!E:E,A31,'📋 Suspens'!O:O,"June 2026"),"")</f>
        <v/>
      </c>
      <c r="H31" s="115">
        <f>IF(A31&lt;&gt;"",COUNTIFS('📋 Suspens'!E:E,A31,'📋 Suspens'!O:O,"July 2026"),"")</f>
        <v/>
      </c>
      <c r="I31" s="115">
        <f>IF(A31&lt;&gt;"",COUNTIFS('📋 Suspens'!E:E,A31,'📋 Suspens'!O:O,"August 2026"),"")</f>
        <v/>
      </c>
      <c r="J31" s="115">
        <f>IF(A31&lt;&gt;"",COUNTIFS('📋 Suspens'!E:E,A31,'📋 Suspens'!O:O,"September 2026"),"")</f>
        <v/>
      </c>
      <c r="K31" s="115">
        <f>IF(A31&lt;&gt;"",COUNTIFS('📋 Suspens'!E:E,A31,'📋 Suspens'!O:O,"October 2026"),"")</f>
        <v/>
      </c>
      <c r="L31" s="115">
        <f>IF(A31&lt;&gt;"",COUNTIFS('📋 Suspens'!E:E,A31,'📋 Suspens'!O:O,"November 2026"),"")</f>
        <v/>
      </c>
      <c r="M31" s="115">
        <f>IF(A31&lt;&gt;"",COUNTIFS('📋 Suspens'!E:E,A31,'📋 Suspens'!O:O,"December 2026"),"")</f>
        <v/>
      </c>
    </row>
    <row r="32" ht="21.75" customHeight="1" s="85">
      <c r="A32" s="151">
        <f>IF('⚙️ Parametres'!C22&lt;&gt;"",'⚙️ Parametres'!C22,"")</f>
        <v/>
      </c>
      <c r="B32" s="122">
        <f>IF(A32&lt;&gt;"",COUNTIFS('📋 Suspens'!E:E,A32,'📋 Suspens'!O:O,"January 2026"),"")</f>
        <v/>
      </c>
      <c r="C32" s="122">
        <f>IF(A32&lt;&gt;"",COUNTIFS('📋 Suspens'!E:E,A32,'📋 Suspens'!O:O,"February 2026"),"")</f>
        <v/>
      </c>
      <c r="D32" s="122">
        <f>IF(A32&lt;&gt;"",COUNTIFS('📋 Suspens'!E:E,A32,'📋 Suspens'!O:O,"March 2026"),"")</f>
        <v/>
      </c>
      <c r="E32" s="122">
        <f>IF(A32&lt;&gt;"",COUNTIFS('📋 Suspens'!E:E,A32,'📋 Suspens'!O:O,"April 2026"),"")</f>
        <v/>
      </c>
      <c r="F32" s="122">
        <f>IF(A32&lt;&gt;"",COUNTIFS('📋 Suspens'!E:E,A32,'📋 Suspens'!O:O,"May 2026"),"")</f>
        <v/>
      </c>
      <c r="G32" s="122">
        <f>IF(A32&lt;&gt;"",COUNTIFS('📋 Suspens'!E:E,A32,'📋 Suspens'!O:O,"June 2026"),"")</f>
        <v/>
      </c>
      <c r="H32" s="122">
        <f>IF(A32&lt;&gt;"",COUNTIFS('📋 Suspens'!E:E,A32,'📋 Suspens'!O:O,"July 2026"),"")</f>
        <v/>
      </c>
      <c r="I32" s="122">
        <f>IF(A32&lt;&gt;"",COUNTIFS('📋 Suspens'!E:E,A32,'📋 Suspens'!O:O,"August 2026"),"")</f>
        <v/>
      </c>
      <c r="J32" s="122">
        <f>IF(A32&lt;&gt;"",COUNTIFS('📋 Suspens'!E:E,A32,'📋 Suspens'!O:O,"September 2026"),"")</f>
        <v/>
      </c>
      <c r="K32" s="122">
        <f>IF(A32&lt;&gt;"",COUNTIFS('📋 Suspens'!E:E,A32,'📋 Suspens'!O:O,"October 2026"),"")</f>
        <v/>
      </c>
      <c r="L32" s="122">
        <f>IF(A32&lt;&gt;"",COUNTIFS('📋 Suspens'!E:E,A32,'📋 Suspens'!O:O,"November 2026"),"")</f>
        <v/>
      </c>
      <c r="M32" s="122">
        <f>IF(A32&lt;&gt;"",COUNTIFS('📋 Suspens'!E:E,A32,'📋 Suspens'!O:O,"December 2026"),"")</f>
        <v/>
      </c>
    </row>
    <row r="33" ht="21.75" customHeight="1" s="85">
      <c r="A33" s="155">
        <f>IF('⚙️ Parametres'!C23&lt;&gt;"",'⚙️ Parametres'!C23,"")</f>
        <v/>
      </c>
      <c r="B33" s="115">
        <f>IF(A33&lt;&gt;"",COUNTIFS('📋 Suspens'!E:E,A33,'📋 Suspens'!O:O,"January 2026"),"")</f>
        <v/>
      </c>
      <c r="C33" s="115">
        <f>IF(A33&lt;&gt;"",COUNTIFS('📋 Suspens'!E:E,A33,'📋 Suspens'!O:O,"February 2026"),"")</f>
        <v/>
      </c>
      <c r="D33" s="115">
        <f>IF(A33&lt;&gt;"",COUNTIFS('📋 Suspens'!E:E,A33,'📋 Suspens'!O:O,"March 2026"),"")</f>
        <v/>
      </c>
      <c r="E33" s="115">
        <f>IF(A33&lt;&gt;"",COUNTIFS('📋 Suspens'!E:E,A33,'📋 Suspens'!O:O,"April 2026"),"")</f>
        <v/>
      </c>
      <c r="F33" s="115">
        <f>IF(A33&lt;&gt;"",COUNTIFS('📋 Suspens'!E:E,A33,'📋 Suspens'!O:O,"May 2026"),"")</f>
        <v/>
      </c>
      <c r="G33" s="115">
        <f>IF(A33&lt;&gt;"",COUNTIFS('📋 Suspens'!E:E,A33,'📋 Suspens'!O:O,"June 2026"),"")</f>
        <v/>
      </c>
      <c r="H33" s="115">
        <f>IF(A33&lt;&gt;"",COUNTIFS('📋 Suspens'!E:E,A33,'📋 Suspens'!O:O,"July 2026"),"")</f>
        <v/>
      </c>
      <c r="I33" s="115">
        <f>IF(A33&lt;&gt;"",COUNTIFS('📋 Suspens'!E:E,A33,'📋 Suspens'!O:O,"August 2026"),"")</f>
        <v/>
      </c>
      <c r="J33" s="115">
        <f>IF(A33&lt;&gt;"",COUNTIFS('📋 Suspens'!E:E,A33,'📋 Suspens'!O:O,"September 2026"),"")</f>
        <v/>
      </c>
      <c r="K33" s="115">
        <f>IF(A33&lt;&gt;"",COUNTIFS('📋 Suspens'!E:E,A33,'📋 Suspens'!O:O,"October 2026"),"")</f>
        <v/>
      </c>
      <c r="L33" s="115">
        <f>IF(A33&lt;&gt;"",COUNTIFS('📋 Suspens'!E:E,A33,'📋 Suspens'!O:O,"November 2026"),"")</f>
        <v/>
      </c>
      <c r="M33" s="115">
        <f>IF(A33&lt;&gt;"",COUNTIFS('📋 Suspens'!E:E,A33,'📋 Suspens'!O:O,"December 2026"),"")</f>
        <v/>
      </c>
    </row>
    <row r="34" ht="21.75" customHeight="1" s="85">
      <c r="A34" s="151">
        <f>IF('⚙️ Parametres'!C24&lt;&gt;"",'⚙️ Parametres'!C24,"")</f>
        <v/>
      </c>
      <c r="B34" s="122">
        <f>IF(A34&lt;&gt;"",COUNTIFS('📋 Suspens'!E:E,A34,'📋 Suspens'!O:O,"January 2026"),"")</f>
        <v/>
      </c>
      <c r="C34" s="122">
        <f>IF(A34&lt;&gt;"",COUNTIFS('📋 Suspens'!E:E,A34,'📋 Suspens'!O:O,"February 2026"),"")</f>
        <v/>
      </c>
      <c r="D34" s="122">
        <f>IF(A34&lt;&gt;"",COUNTIFS('📋 Suspens'!E:E,A34,'📋 Suspens'!O:O,"March 2026"),"")</f>
        <v/>
      </c>
      <c r="E34" s="122">
        <f>IF(A34&lt;&gt;"",COUNTIFS('📋 Suspens'!E:E,A34,'📋 Suspens'!O:O,"April 2026"),"")</f>
        <v/>
      </c>
      <c r="F34" s="122">
        <f>IF(A34&lt;&gt;"",COUNTIFS('📋 Suspens'!E:E,A34,'📋 Suspens'!O:O,"May 2026"),"")</f>
        <v/>
      </c>
      <c r="G34" s="122">
        <f>IF(A34&lt;&gt;"",COUNTIFS('📋 Suspens'!E:E,A34,'📋 Suspens'!O:O,"June 2026"),"")</f>
        <v/>
      </c>
      <c r="H34" s="122">
        <f>IF(A34&lt;&gt;"",COUNTIFS('📋 Suspens'!E:E,A34,'📋 Suspens'!O:O,"July 2026"),"")</f>
        <v/>
      </c>
      <c r="I34" s="122">
        <f>IF(A34&lt;&gt;"",COUNTIFS('📋 Suspens'!E:E,A34,'📋 Suspens'!O:O,"August 2026"),"")</f>
        <v/>
      </c>
      <c r="J34" s="122">
        <f>IF(A34&lt;&gt;"",COUNTIFS('📋 Suspens'!E:E,A34,'📋 Suspens'!O:O,"September 2026"),"")</f>
        <v/>
      </c>
      <c r="K34" s="122">
        <f>IF(A34&lt;&gt;"",COUNTIFS('📋 Suspens'!E:E,A34,'📋 Suspens'!O:O,"October 2026"),"")</f>
        <v/>
      </c>
      <c r="L34" s="122">
        <f>IF(A34&lt;&gt;"",COUNTIFS('📋 Suspens'!E:E,A34,'📋 Suspens'!O:O,"November 2026"),"")</f>
        <v/>
      </c>
      <c r="M34" s="122">
        <f>IF(A34&lt;&gt;"",COUNTIFS('📋 Suspens'!E:E,A34,'📋 Suspens'!O:O,"December 2026"),"")</f>
        <v/>
      </c>
    </row>
    <row r="35" ht="21.75" customHeight="1" s="85">
      <c r="A35" s="155">
        <f>IF('⚙️ Parametres'!C25&lt;&gt;"",'⚙️ Parametres'!C25,"")</f>
        <v/>
      </c>
      <c r="B35" s="115">
        <f>IF(A35&lt;&gt;"",COUNTIFS('📋 Suspens'!E:E,A35,'📋 Suspens'!O:O,"January 2026"),"")</f>
        <v/>
      </c>
      <c r="C35" s="115">
        <f>IF(A35&lt;&gt;"",COUNTIFS('📋 Suspens'!E:E,A35,'📋 Suspens'!O:O,"February 2026"),"")</f>
        <v/>
      </c>
      <c r="D35" s="115">
        <f>IF(A35&lt;&gt;"",COUNTIFS('📋 Suspens'!E:E,A35,'📋 Suspens'!O:O,"March 2026"),"")</f>
        <v/>
      </c>
      <c r="E35" s="115">
        <f>IF(A35&lt;&gt;"",COUNTIFS('📋 Suspens'!E:E,A35,'📋 Suspens'!O:O,"April 2026"),"")</f>
        <v/>
      </c>
      <c r="F35" s="115">
        <f>IF(A35&lt;&gt;"",COUNTIFS('📋 Suspens'!E:E,A35,'📋 Suspens'!O:O,"May 2026"),"")</f>
        <v/>
      </c>
      <c r="G35" s="115">
        <f>IF(A35&lt;&gt;"",COUNTIFS('📋 Suspens'!E:E,A35,'📋 Suspens'!O:O,"June 2026"),"")</f>
        <v/>
      </c>
      <c r="H35" s="115">
        <f>IF(A35&lt;&gt;"",COUNTIFS('📋 Suspens'!E:E,A35,'📋 Suspens'!O:O,"July 2026"),"")</f>
        <v/>
      </c>
      <c r="I35" s="115">
        <f>IF(A35&lt;&gt;"",COUNTIFS('📋 Suspens'!E:E,A35,'📋 Suspens'!O:O,"August 2026"),"")</f>
        <v/>
      </c>
      <c r="J35" s="115">
        <f>IF(A35&lt;&gt;"",COUNTIFS('📋 Suspens'!E:E,A35,'📋 Suspens'!O:O,"September 2026"),"")</f>
        <v/>
      </c>
      <c r="K35" s="115">
        <f>IF(A35&lt;&gt;"",COUNTIFS('📋 Suspens'!E:E,A35,'📋 Suspens'!O:O,"October 2026"),"")</f>
        <v/>
      </c>
      <c r="L35" s="115">
        <f>IF(A35&lt;&gt;"",COUNTIFS('📋 Suspens'!E:E,A35,'📋 Suspens'!O:O,"November 2026"),"")</f>
        <v/>
      </c>
      <c r="M35" s="115">
        <f>IF(A35&lt;&gt;"",COUNTIFS('📋 Suspens'!E:E,A35,'📋 Suspens'!O:O,"December 2026"),"")</f>
        <v/>
      </c>
    </row>
    <row r="36" ht="21.75" customHeight="1" s="85">
      <c r="A36" s="151">
        <f>IF('⚙️ Parametres'!C26&lt;&gt;"",'⚙️ Parametres'!C26,"")</f>
        <v/>
      </c>
      <c r="B36" s="122">
        <f>IF(A36&lt;&gt;"",COUNTIFS('📋 Suspens'!E:E,A36,'📋 Suspens'!O:O,"January 2026"),"")</f>
        <v/>
      </c>
      <c r="C36" s="122">
        <f>IF(A36&lt;&gt;"",COUNTIFS('📋 Suspens'!E:E,A36,'📋 Suspens'!O:O,"February 2026"),"")</f>
        <v/>
      </c>
      <c r="D36" s="122">
        <f>IF(A36&lt;&gt;"",COUNTIFS('📋 Suspens'!E:E,A36,'📋 Suspens'!O:O,"March 2026"),"")</f>
        <v/>
      </c>
      <c r="E36" s="122">
        <f>IF(A36&lt;&gt;"",COUNTIFS('📋 Suspens'!E:E,A36,'📋 Suspens'!O:O,"April 2026"),"")</f>
        <v/>
      </c>
      <c r="F36" s="122">
        <f>IF(A36&lt;&gt;"",COUNTIFS('📋 Suspens'!E:E,A36,'📋 Suspens'!O:O,"May 2026"),"")</f>
        <v/>
      </c>
      <c r="G36" s="122">
        <f>IF(A36&lt;&gt;"",COUNTIFS('📋 Suspens'!E:E,A36,'📋 Suspens'!O:O,"June 2026"),"")</f>
        <v/>
      </c>
      <c r="H36" s="122">
        <f>IF(A36&lt;&gt;"",COUNTIFS('📋 Suspens'!E:E,A36,'📋 Suspens'!O:O,"July 2026"),"")</f>
        <v/>
      </c>
      <c r="I36" s="122">
        <f>IF(A36&lt;&gt;"",COUNTIFS('📋 Suspens'!E:E,A36,'📋 Suspens'!O:O,"August 2026"),"")</f>
        <v/>
      </c>
      <c r="J36" s="122">
        <f>IF(A36&lt;&gt;"",COUNTIFS('📋 Suspens'!E:E,A36,'📋 Suspens'!O:O,"September 2026"),"")</f>
        <v/>
      </c>
      <c r="K36" s="122">
        <f>IF(A36&lt;&gt;"",COUNTIFS('📋 Suspens'!E:E,A36,'📋 Suspens'!O:O,"October 2026"),"")</f>
        <v/>
      </c>
      <c r="L36" s="122">
        <f>IF(A36&lt;&gt;"",COUNTIFS('📋 Suspens'!E:E,A36,'📋 Suspens'!O:O,"November 2026"),"")</f>
        <v/>
      </c>
      <c r="M36" s="122">
        <f>IF(A36&lt;&gt;"",COUNTIFS('📋 Suspens'!E:E,A36,'📋 Suspens'!O:O,"December 2026"),"")</f>
        <v/>
      </c>
    </row>
    <row r="37" ht="21.75" customHeight="1" s="85">
      <c r="A37" s="155">
        <f>IF('⚙️ Parametres'!C27&lt;&gt;"",'⚙️ Parametres'!C27,"")</f>
        <v/>
      </c>
      <c r="B37" s="115">
        <f>IF(A37&lt;&gt;"",COUNTIFS('📋 Suspens'!E:E,A37,'📋 Suspens'!O:O,"January 2026"),"")</f>
        <v/>
      </c>
      <c r="C37" s="115">
        <f>IF(A37&lt;&gt;"",COUNTIFS('📋 Suspens'!E:E,A37,'📋 Suspens'!O:O,"February 2026"),"")</f>
        <v/>
      </c>
      <c r="D37" s="115">
        <f>IF(A37&lt;&gt;"",COUNTIFS('📋 Suspens'!E:E,A37,'📋 Suspens'!O:O,"March 2026"),"")</f>
        <v/>
      </c>
      <c r="E37" s="115">
        <f>IF(A37&lt;&gt;"",COUNTIFS('📋 Suspens'!E:E,A37,'📋 Suspens'!O:O,"April 2026"),"")</f>
        <v/>
      </c>
      <c r="F37" s="115">
        <f>IF(A37&lt;&gt;"",COUNTIFS('📋 Suspens'!E:E,A37,'📋 Suspens'!O:O,"May 2026"),"")</f>
        <v/>
      </c>
      <c r="G37" s="115">
        <f>IF(A37&lt;&gt;"",COUNTIFS('📋 Suspens'!E:E,A37,'📋 Suspens'!O:O,"June 2026"),"")</f>
        <v/>
      </c>
      <c r="H37" s="115">
        <f>IF(A37&lt;&gt;"",COUNTIFS('📋 Suspens'!E:E,A37,'📋 Suspens'!O:O,"July 2026"),"")</f>
        <v/>
      </c>
      <c r="I37" s="115">
        <f>IF(A37&lt;&gt;"",COUNTIFS('📋 Suspens'!E:E,A37,'📋 Suspens'!O:O,"August 2026"),"")</f>
        <v/>
      </c>
      <c r="J37" s="115">
        <f>IF(A37&lt;&gt;"",COUNTIFS('📋 Suspens'!E:E,A37,'📋 Suspens'!O:O,"September 2026"),"")</f>
        <v/>
      </c>
      <c r="K37" s="115">
        <f>IF(A37&lt;&gt;"",COUNTIFS('📋 Suspens'!E:E,A37,'📋 Suspens'!O:O,"October 2026"),"")</f>
        <v/>
      </c>
      <c r="L37" s="115">
        <f>IF(A37&lt;&gt;"",COUNTIFS('📋 Suspens'!E:E,A37,'📋 Suspens'!O:O,"November 2026"),"")</f>
        <v/>
      </c>
      <c r="M37" s="115">
        <f>IF(A37&lt;&gt;"",COUNTIFS('📋 Suspens'!E:E,A37,'📋 Suspens'!O:O,"December 2026"),"")</f>
        <v/>
      </c>
    </row>
    <row r="38" ht="21.75" customHeight="1" s="85">
      <c r="A38" s="151">
        <f>IF('⚙️ Parametres'!C28&lt;&gt;"",'⚙️ Parametres'!C28,"")</f>
        <v/>
      </c>
      <c r="B38" s="122">
        <f>IF(A38&lt;&gt;"",COUNTIFS('📋 Suspens'!E:E,A38,'📋 Suspens'!O:O,"January 2026"),"")</f>
        <v/>
      </c>
      <c r="C38" s="122">
        <f>IF(A38&lt;&gt;"",COUNTIFS('📋 Suspens'!E:E,A38,'📋 Suspens'!O:O,"February 2026"),"")</f>
        <v/>
      </c>
      <c r="D38" s="122">
        <f>IF(A38&lt;&gt;"",COUNTIFS('📋 Suspens'!E:E,A38,'📋 Suspens'!O:O,"March 2026"),"")</f>
        <v/>
      </c>
      <c r="E38" s="122">
        <f>IF(A38&lt;&gt;"",COUNTIFS('📋 Suspens'!E:E,A38,'📋 Suspens'!O:O,"April 2026"),"")</f>
        <v/>
      </c>
      <c r="F38" s="122">
        <f>IF(A38&lt;&gt;"",COUNTIFS('📋 Suspens'!E:E,A38,'📋 Suspens'!O:O,"May 2026"),"")</f>
        <v/>
      </c>
      <c r="G38" s="122">
        <f>IF(A38&lt;&gt;"",COUNTIFS('📋 Suspens'!E:E,A38,'📋 Suspens'!O:O,"June 2026"),"")</f>
        <v/>
      </c>
      <c r="H38" s="122">
        <f>IF(A38&lt;&gt;"",COUNTIFS('📋 Suspens'!E:E,A38,'📋 Suspens'!O:O,"July 2026"),"")</f>
        <v/>
      </c>
      <c r="I38" s="122">
        <f>IF(A38&lt;&gt;"",COUNTIFS('📋 Suspens'!E:E,A38,'📋 Suspens'!O:O,"August 2026"),"")</f>
        <v/>
      </c>
      <c r="J38" s="122">
        <f>IF(A38&lt;&gt;"",COUNTIFS('📋 Suspens'!E:E,A38,'📋 Suspens'!O:O,"September 2026"),"")</f>
        <v/>
      </c>
      <c r="K38" s="122">
        <f>IF(A38&lt;&gt;"",COUNTIFS('📋 Suspens'!E:E,A38,'📋 Suspens'!O:O,"October 2026"),"")</f>
        <v/>
      </c>
      <c r="L38" s="122">
        <f>IF(A38&lt;&gt;"",COUNTIFS('📋 Suspens'!E:E,A38,'📋 Suspens'!O:O,"November 2026"),"")</f>
        <v/>
      </c>
      <c r="M38" s="122">
        <f>IF(A38&lt;&gt;"",COUNTIFS('📋 Suspens'!E:E,A38,'📋 Suspens'!O:O,"December 2026"),"")</f>
        <v/>
      </c>
    </row>
    <row r="39" ht="21.75" customHeight="1" s="85">
      <c r="A39" s="155">
        <f>IF('⚙️ Parametres'!C29&lt;&gt;"",'⚙️ Parametres'!C29,"")</f>
        <v/>
      </c>
      <c r="B39" s="115">
        <f>IF(A39&lt;&gt;"",COUNTIFS('📋 Suspens'!E:E,A39,'📋 Suspens'!O:O,"January 2026"),"")</f>
        <v/>
      </c>
      <c r="C39" s="115">
        <f>IF(A39&lt;&gt;"",COUNTIFS('📋 Suspens'!E:E,A39,'📋 Suspens'!O:O,"February 2026"),"")</f>
        <v/>
      </c>
      <c r="D39" s="115">
        <f>IF(A39&lt;&gt;"",COUNTIFS('📋 Suspens'!E:E,A39,'📋 Suspens'!O:O,"March 2026"),"")</f>
        <v/>
      </c>
      <c r="E39" s="115">
        <f>IF(A39&lt;&gt;"",COUNTIFS('📋 Suspens'!E:E,A39,'📋 Suspens'!O:O,"April 2026"),"")</f>
        <v/>
      </c>
      <c r="F39" s="115">
        <f>IF(A39&lt;&gt;"",COUNTIFS('📋 Suspens'!E:E,A39,'📋 Suspens'!O:O,"May 2026"),"")</f>
        <v/>
      </c>
      <c r="G39" s="115">
        <f>IF(A39&lt;&gt;"",COUNTIFS('📋 Suspens'!E:E,A39,'📋 Suspens'!O:O,"June 2026"),"")</f>
        <v/>
      </c>
      <c r="H39" s="115">
        <f>IF(A39&lt;&gt;"",COUNTIFS('📋 Suspens'!E:E,A39,'📋 Suspens'!O:O,"July 2026"),"")</f>
        <v/>
      </c>
      <c r="I39" s="115">
        <f>IF(A39&lt;&gt;"",COUNTIFS('📋 Suspens'!E:E,A39,'📋 Suspens'!O:O,"August 2026"),"")</f>
        <v/>
      </c>
      <c r="J39" s="115">
        <f>IF(A39&lt;&gt;"",COUNTIFS('📋 Suspens'!E:E,A39,'📋 Suspens'!O:O,"September 2026"),"")</f>
        <v/>
      </c>
      <c r="K39" s="115">
        <f>IF(A39&lt;&gt;"",COUNTIFS('📋 Suspens'!E:E,A39,'📋 Suspens'!O:O,"October 2026"),"")</f>
        <v/>
      </c>
      <c r="L39" s="115">
        <f>IF(A39&lt;&gt;"",COUNTIFS('📋 Suspens'!E:E,A39,'📋 Suspens'!O:O,"November 2026"),"")</f>
        <v/>
      </c>
      <c r="M39" s="115">
        <f>IF(A39&lt;&gt;"",COUNTIFS('📋 Suspens'!E:E,A39,'📋 Suspens'!O:O,"December 2026"),"")</f>
        <v/>
      </c>
    </row>
    <row r="40" ht="21.75" customHeight="1" s="85">
      <c r="A40" s="151">
        <f>IF('⚙️ Parametres'!C30&lt;&gt;"",'⚙️ Parametres'!C30,"")</f>
        <v/>
      </c>
      <c r="B40" s="122">
        <f>IF(A40&lt;&gt;"",COUNTIFS('📋 Suspens'!E:E,A40,'📋 Suspens'!O:O,"January 2026"),"")</f>
        <v/>
      </c>
      <c r="C40" s="122">
        <f>IF(A40&lt;&gt;"",COUNTIFS('📋 Suspens'!E:E,A40,'📋 Suspens'!O:O,"February 2026"),"")</f>
        <v/>
      </c>
      <c r="D40" s="122">
        <f>IF(A40&lt;&gt;"",COUNTIFS('📋 Suspens'!E:E,A40,'📋 Suspens'!O:O,"March 2026"),"")</f>
        <v/>
      </c>
      <c r="E40" s="122">
        <f>IF(A40&lt;&gt;"",COUNTIFS('📋 Suspens'!E:E,A40,'📋 Suspens'!O:O,"April 2026"),"")</f>
        <v/>
      </c>
      <c r="F40" s="122">
        <f>IF(A40&lt;&gt;"",COUNTIFS('📋 Suspens'!E:E,A40,'📋 Suspens'!O:O,"May 2026"),"")</f>
        <v/>
      </c>
      <c r="G40" s="122">
        <f>IF(A40&lt;&gt;"",COUNTIFS('📋 Suspens'!E:E,A40,'📋 Suspens'!O:O,"June 2026"),"")</f>
        <v/>
      </c>
      <c r="H40" s="122">
        <f>IF(A40&lt;&gt;"",COUNTIFS('📋 Suspens'!E:E,A40,'📋 Suspens'!O:O,"July 2026"),"")</f>
        <v/>
      </c>
      <c r="I40" s="122">
        <f>IF(A40&lt;&gt;"",COUNTIFS('📋 Suspens'!E:E,A40,'📋 Suspens'!O:O,"August 2026"),"")</f>
        <v/>
      </c>
      <c r="J40" s="122">
        <f>IF(A40&lt;&gt;"",COUNTIFS('📋 Suspens'!E:E,A40,'📋 Suspens'!O:O,"September 2026"),"")</f>
        <v/>
      </c>
      <c r="K40" s="122">
        <f>IF(A40&lt;&gt;"",COUNTIFS('📋 Suspens'!E:E,A40,'📋 Suspens'!O:O,"October 2026"),"")</f>
        <v/>
      </c>
      <c r="L40" s="122">
        <f>IF(A40&lt;&gt;"",COUNTIFS('📋 Suspens'!E:E,A40,'📋 Suspens'!O:O,"November 2026"),"")</f>
        <v/>
      </c>
      <c r="M40" s="122">
        <f>IF(A40&lt;&gt;"",COUNTIFS('📋 Suspens'!E:E,A40,'📋 Suspens'!O:O,"December 2026"),"")</f>
        <v/>
      </c>
    </row>
    <row r="41" ht="21.75" customHeight="1" s="85">
      <c r="A41" s="155">
        <f>IF('⚙️ Parametres'!C31&lt;&gt;"",'⚙️ Parametres'!C31,"")</f>
        <v/>
      </c>
      <c r="B41" s="115">
        <f>IF(A41&lt;&gt;"",COUNTIFS('📋 Suspens'!E:E,A41,'📋 Suspens'!O:O,"January 2026"),"")</f>
        <v/>
      </c>
      <c r="C41" s="115">
        <f>IF(A41&lt;&gt;"",COUNTIFS('📋 Suspens'!E:E,A41,'📋 Suspens'!O:O,"February 2026"),"")</f>
        <v/>
      </c>
      <c r="D41" s="115">
        <f>IF(A41&lt;&gt;"",COUNTIFS('📋 Suspens'!E:E,A41,'📋 Suspens'!O:O,"March 2026"),"")</f>
        <v/>
      </c>
      <c r="E41" s="115">
        <f>IF(A41&lt;&gt;"",COUNTIFS('📋 Suspens'!E:E,A41,'📋 Suspens'!O:O,"April 2026"),"")</f>
        <v/>
      </c>
      <c r="F41" s="115">
        <f>IF(A41&lt;&gt;"",COUNTIFS('📋 Suspens'!E:E,A41,'📋 Suspens'!O:O,"May 2026"),"")</f>
        <v/>
      </c>
      <c r="G41" s="115">
        <f>IF(A41&lt;&gt;"",COUNTIFS('📋 Suspens'!E:E,A41,'📋 Suspens'!O:O,"June 2026"),"")</f>
        <v/>
      </c>
      <c r="H41" s="115">
        <f>IF(A41&lt;&gt;"",COUNTIFS('📋 Suspens'!E:E,A41,'📋 Suspens'!O:O,"July 2026"),"")</f>
        <v/>
      </c>
      <c r="I41" s="115">
        <f>IF(A41&lt;&gt;"",COUNTIFS('📋 Suspens'!E:E,A41,'📋 Suspens'!O:O,"August 2026"),"")</f>
        <v/>
      </c>
      <c r="J41" s="115">
        <f>IF(A41&lt;&gt;"",COUNTIFS('📋 Suspens'!E:E,A41,'📋 Suspens'!O:O,"September 2026"),"")</f>
        <v/>
      </c>
      <c r="K41" s="115">
        <f>IF(A41&lt;&gt;"",COUNTIFS('📋 Suspens'!E:E,A41,'📋 Suspens'!O:O,"October 2026"),"")</f>
        <v/>
      </c>
      <c r="L41" s="115">
        <f>IF(A41&lt;&gt;"",COUNTIFS('📋 Suspens'!E:E,A41,'📋 Suspens'!O:O,"November 2026"),"")</f>
        <v/>
      </c>
      <c r="M41" s="115">
        <f>IF(A41&lt;&gt;"",COUNTIFS('📋 Suspens'!E:E,A41,'📋 Suspens'!O:O,"December 2026"),"")</f>
        <v/>
      </c>
    </row>
    <row r="42" ht="21.75" customHeight="1" s="85">
      <c r="A42" s="151">
        <f>IF('⚙️ Parametres'!C32&lt;&gt;"",'⚙️ Parametres'!C32,"")</f>
        <v/>
      </c>
      <c r="B42" s="122">
        <f>IF(A42&lt;&gt;"",COUNTIFS('📋 Suspens'!E:E,A42,'📋 Suspens'!O:O,"January 2026"),"")</f>
        <v/>
      </c>
      <c r="C42" s="122">
        <f>IF(A42&lt;&gt;"",COUNTIFS('📋 Suspens'!E:E,A42,'📋 Suspens'!O:O,"February 2026"),"")</f>
        <v/>
      </c>
      <c r="D42" s="122">
        <f>IF(A42&lt;&gt;"",COUNTIFS('📋 Suspens'!E:E,A42,'📋 Suspens'!O:O,"March 2026"),"")</f>
        <v/>
      </c>
      <c r="E42" s="122">
        <f>IF(A42&lt;&gt;"",COUNTIFS('📋 Suspens'!E:E,A42,'📋 Suspens'!O:O,"April 2026"),"")</f>
        <v/>
      </c>
      <c r="F42" s="122">
        <f>IF(A42&lt;&gt;"",COUNTIFS('📋 Suspens'!E:E,A42,'📋 Suspens'!O:O,"May 2026"),"")</f>
        <v/>
      </c>
      <c r="G42" s="122">
        <f>IF(A42&lt;&gt;"",COUNTIFS('📋 Suspens'!E:E,A42,'📋 Suspens'!O:O,"June 2026"),"")</f>
        <v/>
      </c>
      <c r="H42" s="122">
        <f>IF(A42&lt;&gt;"",COUNTIFS('📋 Suspens'!E:E,A42,'📋 Suspens'!O:O,"July 2026"),"")</f>
        <v/>
      </c>
      <c r="I42" s="122">
        <f>IF(A42&lt;&gt;"",COUNTIFS('📋 Suspens'!E:E,A42,'📋 Suspens'!O:O,"August 2026"),"")</f>
        <v/>
      </c>
      <c r="J42" s="122">
        <f>IF(A42&lt;&gt;"",COUNTIFS('📋 Suspens'!E:E,A42,'📋 Suspens'!O:O,"September 2026"),"")</f>
        <v/>
      </c>
      <c r="K42" s="122">
        <f>IF(A42&lt;&gt;"",COUNTIFS('📋 Suspens'!E:E,A42,'📋 Suspens'!O:O,"October 2026"),"")</f>
        <v/>
      </c>
      <c r="L42" s="122">
        <f>IF(A42&lt;&gt;"",COUNTIFS('📋 Suspens'!E:E,A42,'📋 Suspens'!O:O,"November 2026"),"")</f>
        <v/>
      </c>
      <c r="M42" s="122">
        <f>IF(A42&lt;&gt;"",COUNTIFS('📋 Suspens'!E:E,A42,'📋 Suspens'!O:O,"December 2026"),"")</f>
        <v/>
      </c>
    </row>
    <row r="43" ht="21.75" customHeight="1" s="85">
      <c r="A43" s="155">
        <f>IF('⚙️ Parametres'!C33&lt;&gt;"",'⚙️ Parametres'!C33,"")</f>
        <v/>
      </c>
      <c r="B43" s="115">
        <f>IF(A43&lt;&gt;"",COUNTIFS('📋 Suspens'!E:E,A43,'📋 Suspens'!O:O,"January 2026"),"")</f>
        <v/>
      </c>
      <c r="C43" s="115">
        <f>IF(A43&lt;&gt;"",COUNTIFS('📋 Suspens'!E:E,A43,'📋 Suspens'!O:O,"February 2026"),"")</f>
        <v/>
      </c>
      <c r="D43" s="115">
        <f>IF(A43&lt;&gt;"",COUNTIFS('📋 Suspens'!E:E,A43,'📋 Suspens'!O:O,"March 2026"),"")</f>
        <v/>
      </c>
      <c r="E43" s="115">
        <f>IF(A43&lt;&gt;"",COUNTIFS('📋 Suspens'!E:E,A43,'📋 Suspens'!O:O,"April 2026"),"")</f>
        <v/>
      </c>
      <c r="F43" s="115">
        <f>IF(A43&lt;&gt;"",COUNTIFS('📋 Suspens'!E:E,A43,'📋 Suspens'!O:O,"May 2026"),"")</f>
        <v/>
      </c>
      <c r="G43" s="115">
        <f>IF(A43&lt;&gt;"",COUNTIFS('📋 Suspens'!E:E,A43,'📋 Suspens'!O:O,"June 2026"),"")</f>
        <v/>
      </c>
      <c r="H43" s="115">
        <f>IF(A43&lt;&gt;"",COUNTIFS('📋 Suspens'!E:E,A43,'📋 Suspens'!O:O,"July 2026"),"")</f>
        <v/>
      </c>
      <c r="I43" s="115">
        <f>IF(A43&lt;&gt;"",COUNTIFS('📋 Suspens'!E:E,A43,'📋 Suspens'!O:O,"August 2026"),"")</f>
        <v/>
      </c>
      <c r="J43" s="115">
        <f>IF(A43&lt;&gt;"",COUNTIFS('📋 Suspens'!E:E,A43,'📋 Suspens'!O:O,"September 2026"),"")</f>
        <v/>
      </c>
      <c r="K43" s="115">
        <f>IF(A43&lt;&gt;"",COUNTIFS('📋 Suspens'!E:E,A43,'📋 Suspens'!O:O,"October 2026"),"")</f>
        <v/>
      </c>
      <c r="L43" s="115">
        <f>IF(A43&lt;&gt;"",COUNTIFS('📋 Suspens'!E:E,A43,'📋 Suspens'!O:O,"November 2026"),"")</f>
        <v/>
      </c>
      <c r="M43" s="115">
        <f>IF(A43&lt;&gt;"",COUNTIFS('📋 Suspens'!E:E,A43,'📋 Suspens'!O:O,"December 2026"),"")</f>
        <v/>
      </c>
    </row>
    <row r="44" ht="21.75" customHeight="1" s="85">
      <c r="A44" s="151">
        <f>IF('⚙️ Parametres'!C34&lt;&gt;"",'⚙️ Parametres'!C34,"")</f>
        <v/>
      </c>
      <c r="B44" s="122">
        <f>IF(A44&lt;&gt;"",COUNTIFS('📋 Suspens'!E:E,A44,'📋 Suspens'!O:O,"January 2026"),"")</f>
        <v/>
      </c>
      <c r="C44" s="122">
        <f>IF(A44&lt;&gt;"",COUNTIFS('📋 Suspens'!E:E,A44,'📋 Suspens'!O:O,"February 2026"),"")</f>
        <v/>
      </c>
      <c r="D44" s="122">
        <f>IF(A44&lt;&gt;"",COUNTIFS('📋 Suspens'!E:E,A44,'📋 Suspens'!O:O,"March 2026"),"")</f>
        <v/>
      </c>
      <c r="E44" s="122">
        <f>IF(A44&lt;&gt;"",COUNTIFS('📋 Suspens'!E:E,A44,'📋 Suspens'!O:O,"April 2026"),"")</f>
        <v/>
      </c>
      <c r="F44" s="122">
        <f>IF(A44&lt;&gt;"",COUNTIFS('📋 Suspens'!E:E,A44,'📋 Suspens'!O:O,"May 2026"),"")</f>
        <v/>
      </c>
      <c r="G44" s="122">
        <f>IF(A44&lt;&gt;"",COUNTIFS('📋 Suspens'!E:E,A44,'📋 Suspens'!O:O,"June 2026"),"")</f>
        <v/>
      </c>
      <c r="H44" s="122">
        <f>IF(A44&lt;&gt;"",COUNTIFS('📋 Suspens'!E:E,A44,'📋 Suspens'!O:O,"July 2026"),"")</f>
        <v/>
      </c>
      <c r="I44" s="122">
        <f>IF(A44&lt;&gt;"",COUNTIFS('📋 Suspens'!E:E,A44,'📋 Suspens'!O:O,"August 2026"),"")</f>
        <v/>
      </c>
      <c r="J44" s="122">
        <f>IF(A44&lt;&gt;"",COUNTIFS('📋 Suspens'!E:E,A44,'📋 Suspens'!O:O,"September 2026"),"")</f>
        <v/>
      </c>
      <c r="K44" s="122">
        <f>IF(A44&lt;&gt;"",COUNTIFS('📋 Suspens'!E:E,A44,'📋 Suspens'!O:O,"October 2026"),"")</f>
        <v/>
      </c>
      <c r="L44" s="122">
        <f>IF(A44&lt;&gt;"",COUNTIFS('📋 Suspens'!E:E,A44,'📋 Suspens'!O:O,"November 2026"),"")</f>
        <v/>
      </c>
      <c r="M44" s="122">
        <f>IF(A44&lt;&gt;"",COUNTIFS('📋 Suspens'!E:E,A44,'📋 Suspens'!O:O,"December 2026"),"")</f>
        <v/>
      </c>
    </row>
    <row r="45" ht="21.75" customHeight="1" s="85">
      <c r="A45" s="155">
        <f>IF('⚙️ Parametres'!C35&lt;&gt;"",'⚙️ Parametres'!C35,"")</f>
        <v/>
      </c>
      <c r="B45" s="115">
        <f>IF(A45&lt;&gt;"",COUNTIFS('📋 Suspens'!E:E,A45,'📋 Suspens'!O:O,"January 2026"),"")</f>
        <v/>
      </c>
      <c r="C45" s="115">
        <f>IF(A45&lt;&gt;"",COUNTIFS('📋 Suspens'!E:E,A45,'📋 Suspens'!O:O,"February 2026"),"")</f>
        <v/>
      </c>
      <c r="D45" s="115">
        <f>IF(A45&lt;&gt;"",COUNTIFS('📋 Suspens'!E:E,A45,'📋 Suspens'!O:O,"March 2026"),"")</f>
        <v/>
      </c>
      <c r="E45" s="115">
        <f>IF(A45&lt;&gt;"",COUNTIFS('📋 Suspens'!E:E,A45,'📋 Suspens'!O:O,"April 2026"),"")</f>
        <v/>
      </c>
      <c r="F45" s="115">
        <f>IF(A45&lt;&gt;"",COUNTIFS('📋 Suspens'!E:E,A45,'📋 Suspens'!O:O,"May 2026"),"")</f>
        <v/>
      </c>
      <c r="G45" s="115">
        <f>IF(A45&lt;&gt;"",COUNTIFS('📋 Suspens'!E:E,A45,'📋 Suspens'!O:O,"June 2026"),"")</f>
        <v/>
      </c>
      <c r="H45" s="115">
        <f>IF(A45&lt;&gt;"",COUNTIFS('📋 Suspens'!E:E,A45,'📋 Suspens'!O:O,"July 2026"),"")</f>
        <v/>
      </c>
      <c r="I45" s="115">
        <f>IF(A45&lt;&gt;"",COUNTIFS('📋 Suspens'!E:E,A45,'📋 Suspens'!O:O,"August 2026"),"")</f>
        <v/>
      </c>
      <c r="J45" s="115">
        <f>IF(A45&lt;&gt;"",COUNTIFS('📋 Suspens'!E:E,A45,'📋 Suspens'!O:O,"September 2026"),"")</f>
        <v/>
      </c>
      <c r="K45" s="115">
        <f>IF(A45&lt;&gt;"",COUNTIFS('📋 Suspens'!E:E,A45,'📋 Suspens'!O:O,"October 2026"),"")</f>
        <v/>
      </c>
      <c r="L45" s="115">
        <f>IF(A45&lt;&gt;"",COUNTIFS('📋 Suspens'!E:E,A45,'📋 Suspens'!O:O,"November 2026"),"")</f>
        <v/>
      </c>
      <c r="M45" s="115">
        <f>IF(A45&lt;&gt;"",COUNTIFS('📋 Suspens'!E:E,A45,'📋 Suspens'!O:O,"December 2026"),"")</f>
        <v/>
      </c>
    </row>
    <row r="46" ht="21.75" customHeight="1" s="85">
      <c r="A46" s="151">
        <f>IF('⚙️ Parametres'!C36&lt;&gt;"",'⚙️ Parametres'!C36,"")</f>
        <v/>
      </c>
      <c r="B46" s="122">
        <f>IF(A46&lt;&gt;"",COUNTIFS('📋 Suspens'!E:E,A46,'📋 Suspens'!O:O,"January 2026"),"")</f>
        <v/>
      </c>
      <c r="C46" s="122">
        <f>IF(A46&lt;&gt;"",COUNTIFS('📋 Suspens'!E:E,A46,'📋 Suspens'!O:O,"February 2026"),"")</f>
        <v/>
      </c>
      <c r="D46" s="122">
        <f>IF(A46&lt;&gt;"",COUNTIFS('📋 Suspens'!E:E,A46,'📋 Suspens'!O:O,"March 2026"),"")</f>
        <v/>
      </c>
      <c r="E46" s="122">
        <f>IF(A46&lt;&gt;"",COUNTIFS('📋 Suspens'!E:E,A46,'📋 Suspens'!O:O,"April 2026"),"")</f>
        <v/>
      </c>
      <c r="F46" s="122">
        <f>IF(A46&lt;&gt;"",COUNTIFS('📋 Suspens'!E:E,A46,'📋 Suspens'!O:O,"May 2026"),"")</f>
        <v/>
      </c>
      <c r="G46" s="122">
        <f>IF(A46&lt;&gt;"",COUNTIFS('📋 Suspens'!E:E,A46,'📋 Suspens'!O:O,"June 2026"),"")</f>
        <v/>
      </c>
      <c r="H46" s="122">
        <f>IF(A46&lt;&gt;"",COUNTIFS('📋 Suspens'!E:E,A46,'📋 Suspens'!O:O,"July 2026"),"")</f>
        <v/>
      </c>
      <c r="I46" s="122">
        <f>IF(A46&lt;&gt;"",COUNTIFS('📋 Suspens'!E:E,A46,'📋 Suspens'!O:O,"August 2026"),"")</f>
        <v/>
      </c>
      <c r="J46" s="122">
        <f>IF(A46&lt;&gt;"",COUNTIFS('📋 Suspens'!E:E,A46,'📋 Suspens'!O:O,"September 2026"),"")</f>
        <v/>
      </c>
      <c r="K46" s="122">
        <f>IF(A46&lt;&gt;"",COUNTIFS('📋 Suspens'!E:E,A46,'📋 Suspens'!O:O,"October 2026"),"")</f>
        <v/>
      </c>
      <c r="L46" s="122">
        <f>IF(A46&lt;&gt;"",COUNTIFS('📋 Suspens'!E:E,A46,'📋 Suspens'!O:O,"November 2026"),"")</f>
        <v/>
      </c>
      <c r="M46" s="122">
        <f>IF(A46&lt;&gt;"",COUNTIFS('📋 Suspens'!E:E,A46,'📋 Suspens'!O:O,"December 2026"),"")</f>
        <v/>
      </c>
    </row>
    <row r="47" ht="21.75" customHeight="1" s="85">
      <c r="A47" s="155">
        <f>IF('⚙️ Parametres'!C37&lt;&gt;"",'⚙️ Parametres'!C37,"")</f>
        <v/>
      </c>
      <c r="B47" s="115">
        <f>IF(A47&lt;&gt;"",COUNTIFS('📋 Suspens'!E:E,A47,'📋 Suspens'!O:O,"January 2026"),"")</f>
        <v/>
      </c>
      <c r="C47" s="115">
        <f>IF(A47&lt;&gt;"",COUNTIFS('📋 Suspens'!E:E,A47,'📋 Suspens'!O:O,"February 2026"),"")</f>
        <v/>
      </c>
      <c r="D47" s="115">
        <f>IF(A47&lt;&gt;"",COUNTIFS('📋 Suspens'!E:E,A47,'📋 Suspens'!O:O,"March 2026"),"")</f>
        <v/>
      </c>
      <c r="E47" s="115">
        <f>IF(A47&lt;&gt;"",COUNTIFS('📋 Suspens'!E:E,A47,'📋 Suspens'!O:O,"April 2026"),"")</f>
        <v/>
      </c>
      <c r="F47" s="115">
        <f>IF(A47&lt;&gt;"",COUNTIFS('📋 Suspens'!E:E,A47,'📋 Suspens'!O:O,"May 2026"),"")</f>
        <v/>
      </c>
      <c r="G47" s="115">
        <f>IF(A47&lt;&gt;"",COUNTIFS('📋 Suspens'!E:E,A47,'📋 Suspens'!O:O,"June 2026"),"")</f>
        <v/>
      </c>
      <c r="H47" s="115">
        <f>IF(A47&lt;&gt;"",COUNTIFS('📋 Suspens'!E:E,A47,'📋 Suspens'!O:O,"July 2026"),"")</f>
        <v/>
      </c>
      <c r="I47" s="115">
        <f>IF(A47&lt;&gt;"",COUNTIFS('📋 Suspens'!E:E,A47,'📋 Suspens'!O:O,"August 2026"),"")</f>
        <v/>
      </c>
      <c r="J47" s="115">
        <f>IF(A47&lt;&gt;"",COUNTIFS('📋 Suspens'!E:E,A47,'📋 Suspens'!O:O,"September 2026"),"")</f>
        <v/>
      </c>
      <c r="K47" s="115">
        <f>IF(A47&lt;&gt;"",COUNTIFS('📋 Suspens'!E:E,A47,'📋 Suspens'!O:O,"October 2026"),"")</f>
        <v/>
      </c>
      <c r="L47" s="115">
        <f>IF(A47&lt;&gt;"",COUNTIFS('📋 Suspens'!E:E,A47,'📋 Suspens'!O:O,"November 2026"),"")</f>
        <v/>
      </c>
      <c r="M47" s="115">
        <f>IF(A47&lt;&gt;"",COUNTIFS('📋 Suspens'!E:E,A47,'📋 Suspens'!O:O,"December 2026"),"")</f>
        <v/>
      </c>
    </row>
    <row r="48" ht="21.75" customHeight="1" s="85">
      <c r="A48" s="151">
        <f>IF('⚙️ Parametres'!C38&lt;&gt;"",'⚙️ Parametres'!C38,"")</f>
        <v/>
      </c>
      <c r="B48" s="122">
        <f>IF(A48&lt;&gt;"",COUNTIFS('📋 Suspens'!E:E,A48,'📋 Suspens'!O:O,"January 2026"),"")</f>
        <v/>
      </c>
      <c r="C48" s="122">
        <f>IF(A48&lt;&gt;"",COUNTIFS('📋 Suspens'!E:E,A48,'📋 Suspens'!O:O,"February 2026"),"")</f>
        <v/>
      </c>
      <c r="D48" s="122">
        <f>IF(A48&lt;&gt;"",COUNTIFS('📋 Suspens'!E:E,A48,'📋 Suspens'!O:O,"March 2026"),"")</f>
        <v/>
      </c>
      <c r="E48" s="122">
        <f>IF(A48&lt;&gt;"",COUNTIFS('📋 Suspens'!E:E,A48,'📋 Suspens'!O:O,"April 2026"),"")</f>
        <v/>
      </c>
      <c r="F48" s="122">
        <f>IF(A48&lt;&gt;"",COUNTIFS('📋 Suspens'!E:E,A48,'📋 Suspens'!O:O,"May 2026"),"")</f>
        <v/>
      </c>
      <c r="G48" s="122">
        <f>IF(A48&lt;&gt;"",COUNTIFS('📋 Suspens'!E:E,A48,'📋 Suspens'!O:O,"June 2026"),"")</f>
        <v/>
      </c>
      <c r="H48" s="122">
        <f>IF(A48&lt;&gt;"",COUNTIFS('📋 Suspens'!E:E,A48,'📋 Suspens'!O:O,"July 2026"),"")</f>
        <v/>
      </c>
      <c r="I48" s="122">
        <f>IF(A48&lt;&gt;"",COUNTIFS('📋 Suspens'!E:E,A48,'📋 Suspens'!O:O,"August 2026"),"")</f>
        <v/>
      </c>
      <c r="J48" s="122">
        <f>IF(A48&lt;&gt;"",COUNTIFS('📋 Suspens'!E:E,A48,'📋 Suspens'!O:O,"September 2026"),"")</f>
        <v/>
      </c>
      <c r="K48" s="122">
        <f>IF(A48&lt;&gt;"",COUNTIFS('📋 Suspens'!E:E,A48,'📋 Suspens'!O:O,"October 2026"),"")</f>
        <v/>
      </c>
      <c r="L48" s="122">
        <f>IF(A48&lt;&gt;"",COUNTIFS('📋 Suspens'!E:E,A48,'📋 Suspens'!O:O,"November 2026"),"")</f>
        <v/>
      </c>
      <c r="M48" s="122">
        <f>IF(A48&lt;&gt;"",COUNTIFS('📋 Suspens'!E:E,A48,'📋 Suspens'!O:O,"December 2026"),"")</f>
        <v/>
      </c>
    </row>
    <row r="49" ht="21.75" customHeight="1" s="85">
      <c r="A49" s="155">
        <f>IF('⚙️ Parametres'!C39&lt;&gt;"",'⚙️ Parametres'!C39,"")</f>
        <v/>
      </c>
      <c r="B49" s="115">
        <f>IF(A49&lt;&gt;"",COUNTIFS('📋 Suspens'!E:E,A49,'📋 Suspens'!O:O,"January 2026"),"")</f>
        <v/>
      </c>
      <c r="C49" s="115">
        <f>IF(A49&lt;&gt;"",COUNTIFS('📋 Suspens'!E:E,A49,'📋 Suspens'!O:O,"February 2026"),"")</f>
        <v/>
      </c>
      <c r="D49" s="115">
        <f>IF(A49&lt;&gt;"",COUNTIFS('📋 Suspens'!E:E,A49,'📋 Suspens'!O:O,"March 2026"),"")</f>
        <v/>
      </c>
      <c r="E49" s="115">
        <f>IF(A49&lt;&gt;"",COUNTIFS('📋 Suspens'!E:E,A49,'📋 Suspens'!O:O,"April 2026"),"")</f>
        <v/>
      </c>
      <c r="F49" s="115">
        <f>IF(A49&lt;&gt;"",COUNTIFS('📋 Suspens'!E:E,A49,'📋 Suspens'!O:O,"May 2026"),"")</f>
        <v/>
      </c>
      <c r="G49" s="115">
        <f>IF(A49&lt;&gt;"",COUNTIFS('📋 Suspens'!E:E,A49,'📋 Suspens'!O:O,"June 2026"),"")</f>
        <v/>
      </c>
      <c r="H49" s="115">
        <f>IF(A49&lt;&gt;"",COUNTIFS('📋 Suspens'!E:E,A49,'📋 Suspens'!O:O,"July 2026"),"")</f>
        <v/>
      </c>
      <c r="I49" s="115">
        <f>IF(A49&lt;&gt;"",COUNTIFS('📋 Suspens'!E:E,A49,'📋 Suspens'!O:O,"August 2026"),"")</f>
        <v/>
      </c>
      <c r="J49" s="115">
        <f>IF(A49&lt;&gt;"",COUNTIFS('📋 Suspens'!E:E,A49,'📋 Suspens'!O:O,"September 2026"),"")</f>
        <v/>
      </c>
      <c r="K49" s="115">
        <f>IF(A49&lt;&gt;"",COUNTIFS('📋 Suspens'!E:E,A49,'📋 Suspens'!O:O,"October 2026"),"")</f>
        <v/>
      </c>
      <c r="L49" s="115">
        <f>IF(A49&lt;&gt;"",COUNTIFS('📋 Suspens'!E:E,A49,'📋 Suspens'!O:O,"November 2026"),"")</f>
        <v/>
      </c>
      <c r="M49" s="115">
        <f>IF(A49&lt;&gt;"",COUNTIFS('📋 Suspens'!E:E,A49,'📋 Suspens'!O:O,"December 2026"),"")</f>
        <v/>
      </c>
    </row>
    <row r="50" ht="21.75" customHeight="1" s="85">
      <c r="A50" s="151">
        <f>IF('⚙️ Parametres'!C40&lt;&gt;"",'⚙️ Parametres'!C40,"")</f>
        <v/>
      </c>
      <c r="B50" s="122">
        <f>IF(A50&lt;&gt;"",COUNTIFS('📋 Suspens'!E:E,A50,'📋 Suspens'!O:O,"January 2026"),"")</f>
        <v/>
      </c>
      <c r="C50" s="122">
        <f>IF(A50&lt;&gt;"",COUNTIFS('📋 Suspens'!E:E,A50,'📋 Suspens'!O:O,"February 2026"),"")</f>
        <v/>
      </c>
      <c r="D50" s="122">
        <f>IF(A50&lt;&gt;"",COUNTIFS('📋 Suspens'!E:E,A50,'📋 Suspens'!O:O,"March 2026"),"")</f>
        <v/>
      </c>
      <c r="E50" s="122">
        <f>IF(A50&lt;&gt;"",COUNTIFS('📋 Suspens'!E:E,A50,'📋 Suspens'!O:O,"April 2026"),"")</f>
        <v/>
      </c>
      <c r="F50" s="122">
        <f>IF(A50&lt;&gt;"",COUNTIFS('📋 Suspens'!E:E,A50,'📋 Suspens'!O:O,"May 2026"),"")</f>
        <v/>
      </c>
      <c r="G50" s="122">
        <f>IF(A50&lt;&gt;"",COUNTIFS('📋 Suspens'!E:E,A50,'📋 Suspens'!O:O,"June 2026"),"")</f>
        <v/>
      </c>
      <c r="H50" s="122">
        <f>IF(A50&lt;&gt;"",COUNTIFS('📋 Suspens'!E:E,A50,'📋 Suspens'!O:O,"July 2026"),"")</f>
        <v/>
      </c>
      <c r="I50" s="122">
        <f>IF(A50&lt;&gt;"",COUNTIFS('📋 Suspens'!E:E,A50,'📋 Suspens'!O:O,"August 2026"),"")</f>
        <v/>
      </c>
      <c r="J50" s="122">
        <f>IF(A50&lt;&gt;"",COUNTIFS('📋 Suspens'!E:E,A50,'📋 Suspens'!O:O,"September 2026"),"")</f>
        <v/>
      </c>
      <c r="K50" s="122">
        <f>IF(A50&lt;&gt;"",COUNTIFS('📋 Suspens'!E:E,A50,'📋 Suspens'!O:O,"October 2026"),"")</f>
        <v/>
      </c>
      <c r="L50" s="122">
        <f>IF(A50&lt;&gt;"",COUNTIFS('📋 Suspens'!E:E,A50,'📋 Suspens'!O:O,"November 2026"),"")</f>
        <v/>
      </c>
      <c r="M50" s="122">
        <f>IF(A50&lt;&gt;"",COUNTIFS('📋 Suspens'!E:E,A50,'📋 Suspens'!O:O,"December 2026"),"")</f>
        <v/>
      </c>
    </row>
    <row r="51" ht="21.75" customHeight="1" s="85">
      <c r="A51" s="155">
        <f>IF('⚙️ Parametres'!C41&lt;&gt;"",'⚙️ Parametres'!C41,"")</f>
        <v/>
      </c>
      <c r="B51" s="115">
        <f>IF(A51&lt;&gt;"",COUNTIFS('📋 Suspens'!E:E,A51,'📋 Suspens'!O:O,"January 2026"),"")</f>
        <v/>
      </c>
      <c r="C51" s="115">
        <f>IF(A51&lt;&gt;"",COUNTIFS('📋 Suspens'!E:E,A51,'📋 Suspens'!O:O,"February 2026"),"")</f>
        <v/>
      </c>
      <c r="D51" s="115">
        <f>IF(A51&lt;&gt;"",COUNTIFS('📋 Suspens'!E:E,A51,'📋 Suspens'!O:O,"March 2026"),"")</f>
        <v/>
      </c>
      <c r="E51" s="115">
        <f>IF(A51&lt;&gt;"",COUNTIFS('📋 Suspens'!E:E,A51,'📋 Suspens'!O:O,"April 2026"),"")</f>
        <v/>
      </c>
      <c r="F51" s="115">
        <f>IF(A51&lt;&gt;"",COUNTIFS('📋 Suspens'!E:E,A51,'📋 Suspens'!O:O,"May 2026"),"")</f>
        <v/>
      </c>
      <c r="G51" s="115">
        <f>IF(A51&lt;&gt;"",COUNTIFS('📋 Suspens'!E:E,A51,'📋 Suspens'!O:O,"June 2026"),"")</f>
        <v/>
      </c>
      <c r="H51" s="115">
        <f>IF(A51&lt;&gt;"",COUNTIFS('📋 Suspens'!E:E,A51,'📋 Suspens'!O:O,"July 2026"),"")</f>
        <v/>
      </c>
      <c r="I51" s="115">
        <f>IF(A51&lt;&gt;"",COUNTIFS('📋 Suspens'!E:E,A51,'📋 Suspens'!O:O,"August 2026"),"")</f>
        <v/>
      </c>
      <c r="J51" s="115">
        <f>IF(A51&lt;&gt;"",COUNTIFS('📋 Suspens'!E:E,A51,'📋 Suspens'!O:O,"September 2026"),"")</f>
        <v/>
      </c>
      <c r="K51" s="115">
        <f>IF(A51&lt;&gt;"",COUNTIFS('📋 Suspens'!E:E,A51,'📋 Suspens'!O:O,"October 2026"),"")</f>
        <v/>
      </c>
      <c r="L51" s="115">
        <f>IF(A51&lt;&gt;"",COUNTIFS('📋 Suspens'!E:E,A51,'📋 Suspens'!O:O,"November 2026"),"")</f>
        <v/>
      </c>
      <c r="M51" s="115">
        <f>IF(A51&lt;&gt;"",COUNTIFS('📋 Suspens'!E:E,A51,'📋 Suspens'!O:O,"December 2026"),"")</f>
        <v/>
      </c>
    </row>
    <row r="52" ht="21.75" customHeight="1" s="85">
      <c r="A52" s="151">
        <f>IF('⚙️ Parametres'!C42&lt;&gt;"",'⚙️ Parametres'!C42,"")</f>
        <v/>
      </c>
      <c r="B52" s="122">
        <f>IF(A52&lt;&gt;"",COUNTIFS('📋 Suspens'!E:E,A52,'📋 Suspens'!O:O,"January 2026"),"")</f>
        <v/>
      </c>
      <c r="C52" s="122">
        <f>IF(A52&lt;&gt;"",COUNTIFS('📋 Suspens'!E:E,A52,'📋 Suspens'!O:O,"February 2026"),"")</f>
        <v/>
      </c>
      <c r="D52" s="122">
        <f>IF(A52&lt;&gt;"",COUNTIFS('📋 Suspens'!E:E,A52,'📋 Suspens'!O:O,"March 2026"),"")</f>
        <v/>
      </c>
      <c r="E52" s="122">
        <f>IF(A52&lt;&gt;"",COUNTIFS('📋 Suspens'!E:E,A52,'📋 Suspens'!O:O,"April 2026"),"")</f>
        <v/>
      </c>
      <c r="F52" s="122">
        <f>IF(A52&lt;&gt;"",COUNTIFS('📋 Suspens'!E:E,A52,'📋 Suspens'!O:O,"May 2026"),"")</f>
        <v/>
      </c>
      <c r="G52" s="122">
        <f>IF(A52&lt;&gt;"",COUNTIFS('📋 Suspens'!E:E,A52,'📋 Suspens'!O:O,"June 2026"),"")</f>
        <v/>
      </c>
      <c r="H52" s="122">
        <f>IF(A52&lt;&gt;"",COUNTIFS('📋 Suspens'!E:E,A52,'📋 Suspens'!O:O,"July 2026"),"")</f>
        <v/>
      </c>
      <c r="I52" s="122">
        <f>IF(A52&lt;&gt;"",COUNTIFS('📋 Suspens'!E:E,A52,'📋 Suspens'!O:O,"August 2026"),"")</f>
        <v/>
      </c>
      <c r="J52" s="122">
        <f>IF(A52&lt;&gt;"",COUNTIFS('📋 Suspens'!E:E,A52,'📋 Suspens'!O:O,"September 2026"),"")</f>
        <v/>
      </c>
      <c r="K52" s="122">
        <f>IF(A52&lt;&gt;"",COUNTIFS('📋 Suspens'!E:E,A52,'📋 Suspens'!O:O,"October 2026"),"")</f>
        <v/>
      </c>
      <c r="L52" s="122">
        <f>IF(A52&lt;&gt;"",COUNTIFS('📋 Suspens'!E:E,A52,'📋 Suspens'!O:O,"November 2026"),"")</f>
        <v/>
      </c>
      <c r="M52" s="122">
        <f>IF(A52&lt;&gt;"",COUNTIFS('📋 Suspens'!E:E,A52,'📋 Suspens'!O:O,"December 2026"),"")</f>
        <v/>
      </c>
    </row>
    <row r="53" ht="21.75" customHeight="1" s="85">
      <c r="A53" s="155">
        <f>IF('⚙️ Parametres'!C43&lt;&gt;"",'⚙️ Parametres'!C43,"")</f>
        <v/>
      </c>
      <c r="B53" s="115">
        <f>IF(A53&lt;&gt;"",COUNTIFS('📋 Suspens'!E:E,A53,'📋 Suspens'!O:O,"January 2026"),"")</f>
        <v/>
      </c>
      <c r="C53" s="115">
        <f>IF(A53&lt;&gt;"",COUNTIFS('📋 Suspens'!E:E,A53,'📋 Suspens'!O:O,"February 2026"),"")</f>
        <v/>
      </c>
      <c r="D53" s="115">
        <f>IF(A53&lt;&gt;"",COUNTIFS('📋 Suspens'!E:E,A53,'📋 Suspens'!O:O,"March 2026"),"")</f>
        <v/>
      </c>
      <c r="E53" s="115">
        <f>IF(A53&lt;&gt;"",COUNTIFS('📋 Suspens'!E:E,A53,'📋 Suspens'!O:O,"April 2026"),"")</f>
        <v/>
      </c>
      <c r="F53" s="115">
        <f>IF(A53&lt;&gt;"",COUNTIFS('📋 Suspens'!E:E,A53,'📋 Suspens'!O:O,"May 2026"),"")</f>
        <v/>
      </c>
      <c r="G53" s="115">
        <f>IF(A53&lt;&gt;"",COUNTIFS('📋 Suspens'!E:E,A53,'📋 Suspens'!O:O,"June 2026"),"")</f>
        <v/>
      </c>
      <c r="H53" s="115">
        <f>IF(A53&lt;&gt;"",COUNTIFS('📋 Suspens'!E:E,A53,'📋 Suspens'!O:O,"July 2026"),"")</f>
        <v/>
      </c>
      <c r="I53" s="115">
        <f>IF(A53&lt;&gt;"",COUNTIFS('📋 Suspens'!E:E,A53,'📋 Suspens'!O:O,"August 2026"),"")</f>
        <v/>
      </c>
      <c r="J53" s="115">
        <f>IF(A53&lt;&gt;"",COUNTIFS('📋 Suspens'!E:E,A53,'📋 Suspens'!O:O,"September 2026"),"")</f>
        <v/>
      </c>
      <c r="K53" s="115">
        <f>IF(A53&lt;&gt;"",COUNTIFS('📋 Suspens'!E:E,A53,'📋 Suspens'!O:O,"October 2026"),"")</f>
        <v/>
      </c>
      <c r="L53" s="115">
        <f>IF(A53&lt;&gt;"",COUNTIFS('📋 Suspens'!E:E,A53,'📋 Suspens'!O:O,"November 2026"),"")</f>
        <v/>
      </c>
      <c r="M53" s="115">
        <f>IF(A53&lt;&gt;"",COUNTIFS('📋 Suspens'!E:E,A53,'📋 Suspens'!O:O,"December 2026"),"")</f>
        <v/>
      </c>
    </row>
    <row r="54" ht="21.75" customHeight="1" s="85">
      <c r="A54" s="151">
        <f>IF('⚙️ Parametres'!C44&lt;&gt;"",'⚙️ Parametres'!C44,"")</f>
        <v/>
      </c>
      <c r="B54" s="122">
        <f>IF(A54&lt;&gt;"",COUNTIFS('📋 Suspens'!E:E,A54,'📋 Suspens'!O:O,"January 2026"),"")</f>
        <v/>
      </c>
      <c r="C54" s="122">
        <f>IF(A54&lt;&gt;"",COUNTIFS('📋 Suspens'!E:E,A54,'📋 Suspens'!O:O,"February 2026"),"")</f>
        <v/>
      </c>
      <c r="D54" s="122">
        <f>IF(A54&lt;&gt;"",COUNTIFS('📋 Suspens'!E:E,A54,'📋 Suspens'!O:O,"March 2026"),"")</f>
        <v/>
      </c>
      <c r="E54" s="122">
        <f>IF(A54&lt;&gt;"",COUNTIFS('📋 Suspens'!E:E,A54,'📋 Suspens'!O:O,"April 2026"),"")</f>
        <v/>
      </c>
      <c r="F54" s="122">
        <f>IF(A54&lt;&gt;"",COUNTIFS('📋 Suspens'!E:E,A54,'📋 Suspens'!O:O,"May 2026"),"")</f>
        <v/>
      </c>
      <c r="G54" s="122">
        <f>IF(A54&lt;&gt;"",COUNTIFS('📋 Suspens'!E:E,A54,'📋 Suspens'!O:O,"June 2026"),"")</f>
        <v/>
      </c>
      <c r="H54" s="122">
        <f>IF(A54&lt;&gt;"",COUNTIFS('📋 Suspens'!E:E,A54,'📋 Suspens'!O:O,"July 2026"),"")</f>
        <v/>
      </c>
      <c r="I54" s="122">
        <f>IF(A54&lt;&gt;"",COUNTIFS('📋 Suspens'!E:E,A54,'📋 Suspens'!O:O,"August 2026"),"")</f>
        <v/>
      </c>
      <c r="J54" s="122">
        <f>IF(A54&lt;&gt;"",COUNTIFS('📋 Suspens'!E:E,A54,'📋 Suspens'!O:O,"September 2026"),"")</f>
        <v/>
      </c>
      <c r="K54" s="122">
        <f>IF(A54&lt;&gt;"",COUNTIFS('📋 Suspens'!E:E,A54,'📋 Suspens'!O:O,"October 2026"),"")</f>
        <v/>
      </c>
      <c r="L54" s="122">
        <f>IF(A54&lt;&gt;"",COUNTIFS('📋 Suspens'!E:E,A54,'📋 Suspens'!O:O,"November 2026"),"")</f>
        <v/>
      </c>
      <c r="M54" s="122">
        <f>IF(A54&lt;&gt;"",COUNTIFS('📋 Suspens'!E:E,A54,'📋 Suspens'!O:O,"December 2026"),"")</f>
        <v/>
      </c>
    </row>
    <row r="55" ht="21.75" customHeight="1" s="85">
      <c r="A55" s="155">
        <f>IF('⚙️ Parametres'!C45&lt;&gt;"",'⚙️ Parametres'!C45,"")</f>
        <v/>
      </c>
      <c r="B55" s="115">
        <f>IF(A55&lt;&gt;"",COUNTIFS('📋 Suspens'!E:E,A55,'📋 Suspens'!O:O,"January 2026"),"")</f>
        <v/>
      </c>
      <c r="C55" s="115">
        <f>IF(A55&lt;&gt;"",COUNTIFS('📋 Suspens'!E:E,A55,'📋 Suspens'!O:O,"February 2026"),"")</f>
        <v/>
      </c>
      <c r="D55" s="115">
        <f>IF(A55&lt;&gt;"",COUNTIFS('📋 Suspens'!E:E,A55,'📋 Suspens'!O:O,"March 2026"),"")</f>
        <v/>
      </c>
      <c r="E55" s="115">
        <f>IF(A55&lt;&gt;"",COUNTIFS('📋 Suspens'!E:E,A55,'📋 Suspens'!O:O,"April 2026"),"")</f>
        <v/>
      </c>
      <c r="F55" s="115">
        <f>IF(A55&lt;&gt;"",COUNTIFS('📋 Suspens'!E:E,A55,'📋 Suspens'!O:O,"May 2026"),"")</f>
        <v/>
      </c>
      <c r="G55" s="115">
        <f>IF(A55&lt;&gt;"",COUNTIFS('📋 Suspens'!E:E,A55,'📋 Suspens'!O:O,"June 2026"),"")</f>
        <v/>
      </c>
      <c r="H55" s="115">
        <f>IF(A55&lt;&gt;"",COUNTIFS('📋 Suspens'!E:E,A55,'📋 Suspens'!O:O,"July 2026"),"")</f>
        <v/>
      </c>
      <c r="I55" s="115">
        <f>IF(A55&lt;&gt;"",COUNTIFS('📋 Suspens'!E:E,A55,'📋 Suspens'!O:O,"August 2026"),"")</f>
        <v/>
      </c>
      <c r="J55" s="115">
        <f>IF(A55&lt;&gt;"",COUNTIFS('📋 Suspens'!E:E,A55,'📋 Suspens'!O:O,"September 2026"),"")</f>
        <v/>
      </c>
      <c r="K55" s="115">
        <f>IF(A55&lt;&gt;"",COUNTIFS('📋 Suspens'!E:E,A55,'📋 Suspens'!O:O,"October 2026"),"")</f>
        <v/>
      </c>
      <c r="L55" s="115">
        <f>IF(A55&lt;&gt;"",COUNTIFS('📋 Suspens'!E:E,A55,'📋 Suspens'!O:O,"November 2026"),"")</f>
        <v/>
      </c>
      <c r="M55" s="115">
        <f>IF(A55&lt;&gt;"",COUNTIFS('📋 Suspens'!E:E,A55,'📋 Suspens'!O:O,"December 2026"),"")</f>
        <v/>
      </c>
    </row>
    <row r="56" ht="21.75" customHeight="1" s="85">
      <c r="A56" s="151">
        <f>IF('⚙️ Parametres'!C46&lt;&gt;"",'⚙️ Parametres'!C46,"")</f>
        <v/>
      </c>
      <c r="B56" s="122">
        <f>IF(A56&lt;&gt;"",COUNTIFS('📋 Suspens'!E:E,A56,'📋 Suspens'!O:O,"January 2026"),"")</f>
        <v/>
      </c>
      <c r="C56" s="122">
        <f>IF(A56&lt;&gt;"",COUNTIFS('📋 Suspens'!E:E,A56,'📋 Suspens'!O:O,"February 2026"),"")</f>
        <v/>
      </c>
      <c r="D56" s="122">
        <f>IF(A56&lt;&gt;"",COUNTIFS('📋 Suspens'!E:E,A56,'📋 Suspens'!O:O,"March 2026"),"")</f>
        <v/>
      </c>
      <c r="E56" s="122">
        <f>IF(A56&lt;&gt;"",COUNTIFS('📋 Suspens'!E:E,A56,'📋 Suspens'!O:O,"April 2026"),"")</f>
        <v/>
      </c>
      <c r="F56" s="122">
        <f>IF(A56&lt;&gt;"",COUNTIFS('📋 Suspens'!E:E,A56,'📋 Suspens'!O:O,"May 2026"),"")</f>
        <v/>
      </c>
      <c r="G56" s="122">
        <f>IF(A56&lt;&gt;"",COUNTIFS('📋 Suspens'!E:E,A56,'📋 Suspens'!O:O,"June 2026"),"")</f>
        <v/>
      </c>
      <c r="H56" s="122">
        <f>IF(A56&lt;&gt;"",COUNTIFS('📋 Suspens'!E:E,A56,'📋 Suspens'!O:O,"July 2026"),"")</f>
        <v/>
      </c>
      <c r="I56" s="122">
        <f>IF(A56&lt;&gt;"",COUNTIFS('📋 Suspens'!E:E,A56,'📋 Suspens'!O:O,"August 2026"),"")</f>
        <v/>
      </c>
      <c r="J56" s="122">
        <f>IF(A56&lt;&gt;"",COUNTIFS('📋 Suspens'!E:E,A56,'📋 Suspens'!O:O,"September 2026"),"")</f>
        <v/>
      </c>
      <c r="K56" s="122">
        <f>IF(A56&lt;&gt;"",COUNTIFS('📋 Suspens'!E:E,A56,'📋 Suspens'!O:O,"October 2026"),"")</f>
        <v/>
      </c>
      <c r="L56" s="122">
        <f>IF(A56&lt;&gt;"",COUNTIFS('📋 Suspens'!E:E,A56,'📋 Suspens'!O:O,"November 2026"),"")</f>
        <v/>
      </c>
      <c r="M56" s="122">
        <f>IF(A56&lt;&gt;"",COUNTIFS('📋 Suspens'!E:E,A56,'📋 Suspens'!O:O,"December 2026"),"")</f>
        <v/>
      </c>
    </row>
    <row r="57" ht="21.75" customHeight="1" s="85">
      <c r="A57" s="155">
        <f>IF('⚙️ Parametres'!C47&lt;&gt;"",'⚙️ Parametres'!C47,"")</f>
        <v/>
      </c>
      <c r="B57" s="115">
        <f>IF(A57&lt;&gt;"",COUNTIFS('📋 Suspens'!E:E,A57,'📋 Suspens'!O:O,"January 2026"),"")</f>
        <v/>
      </c>
      <c r="C57" s="115">
        <f>IF(A57&lt;&gt;"",COUNTIFS('📋 Suspens'!E:E,A57,'📋 Suspens'!O:O,"February 2026"),"")</f>
        <v/>
      </c>
      <c r="D57" s="115">
        <f>IF(A57&lt;&gt;"",COUNTIFS('📋 Suspens'!E:E,A57,'📋 Suspens'!O:O,"March 2026"),"")</f>
        <v/>
      </c>
      <c r="E57" s="115">
        <f>IF(A57&lt;&gt;"",COUNTIFS('📋 Suspens'!E:E,A57,'📋 Suspens'!O:O,"April 2026"),"")</f>
        <v/>
      </c>
      <c r="F57" s="115">
        <f>IF(A57&lt;&gt;"",COUNTIFS('📋 Suspens'!E:E,A57,'📋 Suspens'!O:O,"May 2026"),"")</f>
        <v/>
      </c>
      <c r="G57" s="115">
        <f>IF(A57&lt;&gt;"",COUNTIFS('📋 Suspens'!E:E,A57,'📋 Suspens'!O:O,"June 2026"),"")</f>
        <v/>
      </c>
      <c r="H57" s="115">
        <f>IF(A57&lt;&gt;"",COUNTIFS('📋 Suspens'!E:E,A57,'📋 Suspens'!O:O,"July 2026"),"")</f>
        <v/>
      </c>
      <c r="I57" s="115">
        <f>IF(A57&lt;&gt;"",COUNTIFS('📋 Suspens'!E:E,A57,'📋 Suspens'!O:O,"August 2026"),"")</f>
        <v/>
      </c>
      <c r="J57" s="115">
        <f>IF(A57&lt;&gt;"",COUNTIFS('📋 Suspens'!E:E,A57,'📋 Suspens'!O:O,"September 2026"),"")</f>
        <v/>
      </c>
      <c r="K57" s="115">
        <f>IF(A57&lt;&gt;"",COUNTIFS('📋 Suspens'!E:E,A57,'📋 Suspens'!O:O,"October 2026"),"")</f>
        <v/>
      </c>
      <c r="L57" s="115">
        <f>IF(A57&lt;&gt;"",COUNTIFS('📋 Suspens'!E:E,A57,'📋 Suspens'!O:O,"November 2026"),"")</f>
        <v/>
      </c>
      <c r="M57" s="115">
        <f>IF(A57&lt;&gt;"",COUNTIFS('📋 Suspens'!E:E,A57,'📋 Suspens'!O:O,"December 2026"),"")</f>
        <v/>
      </c>
    </row>
    <row r="58" ht="21.75" customHeight="1" s="85">
      <c r="A58" s="151">
        <f>IF('⚙️ Parametres'!C48&lt;&gt;"",'⚙️ Parametres'!C48,"")</f>
        <v/>
      </c>
      <c r="B58" s="122">
        <f>IF(A58&lt;&gt;"",COUNTIFS('📋 Suspens'!E:E,A58,'📋 Suspens'!O:O,"January 2026"),"")</f>
        <v/>
      </c>
      <c r="C58" s="122">
        <f>IF(A58&lt;&gt;"",COUNTIFS('📋 Suspens'!E:E,A58,'📋 Suspens'!O:O,"February 2026"),"")</f>
        <v/>
      </c>
      <c r="D58" s="122">
        <f>IF(A58&lt;&gt;"",COUNTIFS('📋 Suspens'!E:E,A58,'📋 Suspens'!O:O,"March 2026"),"")</f>
        <v/>
      </c>
      <c r="E58" s="122">
        <f>IF(A58&lt;&gt;"",COUNTIFS('📋 Suspens'!E:E,A58,'📋 Suspens'!O:O,"April 2026"),"")</f>
        <v/>
      </c>
      <c r="F58" s="122">
        <f>IF(A58&lt;&gt;"",COUNTIFS('📋 Suspens'!E:E,A58,'📋 Suspens'!O:O,"May 2026"),"")</f>
        <v/>
      </c>
      <c r="G58" s="122">
        <f>IF(A58&lt;&gt;"",COUNTIFS('📋 Suspens'!E:E,A58,'📋 Suspens'!O:O,"June 2026"),"")</f>
        <v/>
      </c>
      <c r="H58" s="122">
        <f>IF(A58&lt;&gt;"",COUNTIFS('📋 Suspens'!E:E,A58,'📋 Suspens'!O:O,"July 2026"),"")</f>
        <v/>
      </c>
      <c r="I58" s="122">
        <f>IF(A58&lt;&gt;"",COUNTIFS('📋 Suspens'!E:E,A58,'📋 Suspens'!O:O,"August 2026"),"")</f>
        <v/>
      </c>
      <c r="J58" s="122">
        <f>IF(A58&lt;&gt;"",COUNTIFS('📋 Suspens'!E:E,A58,'📋 Suspens'!O:O,"September 2026"),"")</f>
        <v/>
      </c>
      <c r="K58" s="122">
        <f>IF(A58&lt;&gt;"",COUNTIFS('📋 Suspens'!E:E,A58,'📋 Suspens'!O:O,"October 2026"),"")</f>
        <v/>
      </c>
      <c r="L58" s="122">
        <f>IF(A58&lt;&gt;"",COUNTIFS('📋 Suspens'!E:E,A58,'📋 Suspens'!O:O,"November 2026"),"")</f>
        <v/>
      </c>
      <c r="M58" s="122">
        <f>IF(A58&lt;&gt;"",COUNTIFS('📋 Suspens'!E:E,A58,'📋 Suspens'!O:O,"December 2026"),"")</f>
        <v/>
      </c>
    </row>
    <row r="59" ht="21.75" customHeight="1" s="85">
      <c r="A59" s="155">
        <f>IF('⚙️ Parametres'!C49&lt;&gt;"",'⚙️ Parametres'!C49,"")</f>
        <v/>
      </c>
      <c r="B59" s="115">
        <f>IF(A59&lt;&gt;"",COUNTIFS('📋 Suspens'!E:E,A59,'📋 Suspens'!O:O,"January 2026"),"")</f>
        <v/>
      </c>
      <c r="C59" s="115">
        <f>IF(A59&lt;&gt;"",COUNTIFS('📋 Suspens'!E:E,A59,'📋 Suspens'!O:O,"February 2026"),"")</f>
        <v/>
      </c>
      <c r="D59" s="115">
        <f>IF(A59&lt;&gt;"",COUNTIFS('📋 Suspens'!E:E,A59,'📋 Suspens'!O:O,"March 2026"),"")</f>
        <v/>
      </c>
      <c r="E59" s="115">
        <f>IF(A59&lt;&gt;"",COUNTIFS('📋 Suspens'!E:E,A59,'📋 Suspens'!O:O,"April 2026"),"")</f>
        <v/>
      </c>
      <c r="F59" s="115">
        <f>IF(A59&lt;&gt;"",COUNTIFS('📋 Suspens'!E:E,A59,'📋 Suspens'!O:O,"May 2026"),"")</f>
        <v/>
      </c>
      <c r="G59" s="115">
        <f>IF(A59&lt;&gt;"",COUNTIFS('📋 Suspens'!E:E,A59,'📋 Suspens'!O:O,"June 2026"),"")</f>
        <v/>
      </c>
      <c r="H59" s="115">
        <f>IF(A59&lt;&gt;"",COUNTIFS('📋 Suspens'!E:E,A59,'📋 Suspens'!O:O,"July 2026"),"")</f>
        <v/>
      </c>
      <c r="I59" s="115">
        <f>IF(A59&lt;&gt;"",COUNTIFS('📋 Suspens'!E:E,A59,'📋 Suspens'!O:O,"August 2026"),"")</f>
        <v/>
      </c>
      <c r="J59" s="115">
        <f>IF(A59&lt;&gt;"",COUNTIFS('📋 Suspens'!E:E,A59,'📋 Suspens'!O:O,"September 2026"),"")</f>
        <v/>
      </c>
      <c r="K59" s="115">
        <f>IF(A59&lt;&gt;"",COUNTIFS('📋 Suspens'!E:E,A59,'📋 Suspens'!O:O,"October 2026"),"")</f>
        <v/>
      </c>
      <c r="L59" s="115">
        <f>IF(A59&lt;&gt;"",COUNTIFS('📋 Suspens'!E:E,A59,'📋 Suspens'!O:O,"November 2026"),"")</f>
        <v/>
      </c>
      <c r="M59" s="115">
        <f>IF(A59&lt;&gt;"",COUNTIFS('📋 Suspens'!E:E,A59,'📋 Suspens'!O:O,"December 2026"),"")</f>
        <v/>
      </c>
    </row>
    <row r="60" ht="21.75" customHeight="1" s="85">
      <c r="A60" s="151">
        <f>IF('⚙️ Parametres'!C50&lt;&gt;"",'⚙️ Parametres'!C50,"")</f>
        <v/>
      </c>
      <c r="B60" s="122">
        <f>IF(A60&lt;&gt;"",COUNTIFS('📋 Suspens'!E:E,A60,'📋 Suspens'!O:O,"January 2026"),"")</f>
        <v/>
      </c>
      <c r="C60" s="122">
        <f>IF(A60&lt;&gt;"",COUNTIFS('📋 Suspens'!E:E,A60,'📋 Suspens'!O:O,"February 2026"),"")</f>
        <v/>
      </c>
      <c r="D60" s="122">
        <f>IF(A60&lt;&gt;"",COUNTIFS('📋 Suspens'!E:E,A60,'📋 Suspens'!O:O,"March 2026"),"")</f>
        <v/>
      </c>
      <c r="E60" s="122">
        <f>IF(A60&lt;&gt;"",COUNTIFS('📋 Suspens'!E:E,A60,'📋 Suspens'!O:O,"April 2026"),"")</f>
        <v/>
      </c>
      <c r="F60" s="122">
        <f>IF(A60&lt;&gt;"",COUNTIFS('📋 Suspens'!E:E,A60,'📋 Suspens'!O:O,"May 2026"),"")</f>
        <v/>
      </c>
      <c r="G60" s="122">
        <f>IF(A60&lt;&gt;"",COUNTIFS('📋 Suspens'!E:E,A60,'📋 Suspens'!O:O,"June 2026"),"")</f>
        <v/>
      </c>
      <c r="H60" s="122">
        <f>IF(A60&lt;&gt;"",COUNTIFS('📋 Suspens'!E:E,A60,'📋 Suspens'!O:O,"July 2026"),"")</f>
        <v/>
      </c>
      <c r="I60" s="122">
        <f>IF(A60&lt;&gt;"",COUNTIFS('📋 Suspens'!E:E,A60,'📋 Suspens'!O:O,"August 2026"),"")</f>
        <v/>
      </c>
      <c r="J60" s="122">
        <f>IF(A60&lt;&gt;"",COUNTIFS('📋 Suspens'!E:E,A60,'📋 Suspens'!O:O,"September 2026"),"")</f>
        <v/>
      </c>
      <c r="K60" s="122">
        <f>IF(A60&lt;&gt;"",COUNTIFS('📋 Suspens'!E:E,A60,'📋 Suspens'!O:O,"October 2026"),"")</f>
        <v/>
      </c>
      <c r="L60" s="122">
        <f>IF(A60&lt;&gt;"",COUNTIFS('📋 Suspens'!E:E,A60,'📋 Suspens'!O:O,"November 2026"),"")</f>
        <v/>
      </c>
      <c r="M60" s="122">
        <f>IF(A60&lt;&gt;"",COUNTIFS('📋 Suspens'!E:E,A60,'📋 Suspens'!O:O,"December 2026"),"")</f>
        <v/>
      </c>
    </row>
    <row r="61" ht="21.75" customHeight="1" s="85">
      <c r="A61" s="155">
        <f>IF('⚙️ Parametres'!C51&lt;&gt;"",'⚙️ Parametres'!C51,"")</f>
        <v/>
      </c>
      <c r="B61" s="115">
        <f>IF(A61&lt;&gt;"",COUNTIFS('📋 Suspens'!E:E,A61,'📋 Suspens'!O:O,"January 2026"),"")</f>
        <v/>
      </c>
      <c r="C61" s="115">
        <f>IF(A61&lt;&gt;"",COUNTIFS('📋 Suspens'!E:E,A61,'📋 Suspens'!O:O,"February 2026"),"")</f>
        <v/>
      </c>
      <c r="D61" s="115">
        <f>IF(A61&lt;&gt;"",COUNTIFS('📋 Suspens'!E:E,A61,'📋 Suspens'!O:O,"March 2026"),"")</f>
        <v/>
      </c>
      <c r="E61" s="115">
        <f>IF(A61&lt;&gt;"",COUNTIFS('📋 Suspens'!E:E,A61,'📋 Suspens'!O:O,"April 2026"),"")</f>
        <v/>
      </c>
      <c r="F61" s="115">
        <f>IF(A61&lt;&gt;"",COUNTIFS('📋 Suspens'!E:E,A61,'📋 Suspens'!O:O,"May 2026"),"")</f>
        <v/>
      </c>
      <c r="G61" s="115">
        <f>IF(A61&lt;&gt;"",COUNTIFS('📋 Suspens'!E:E,A61,'📋 Suspens'!O:O,"June 2026"),"")</f>
        <v/>
      </c>
      <c r="H61" s="115">
        <f>IF(A61&lt;&gt;"",COUNTIFS('📋 Suspens'!E:E,A61,'📋 Suspens'!O:O,"July 2026"),"")</f>
        <v/>
      </c>
      <c r="I61" s="115">
        <f>IF(A61&lt;&gt;"",COUNTIFS('📋 Suspens'!E:E,A61,'📋 Suspens'!O:O,"August 2026"),"")</f>
        <v/>
      </c>
      <c r="J61" s="115">
        <f>IF(A61&lt;&gt;"",COUNTIFS('📋 Suspens'!E:E,A61,'📋 Suspens'!O:O,"September 2026"),"")</f>
        <v/>
      </c>
      <c r="K61" s="115">
        <f>IF(A61&lt;&gt;"",COUNTIFS('📋 Suspens'!E:E,A61,'📋 Suspens'!O:O,"October 2026"),"")</f>
        <v/>
      </c>
      <c r="L61" s="115">
        <f>IF(A61&lt;&gt;"",COUNTIFS('📋 Suspens'!E:E,A61,'📋 Suspens'!O:O,"November 2026"),"")</f>
        <v/>
      </c>
      <c r="M61" s="115">
        <f>IF(A61&lt;&gt;"",COUNTIFS('📋 Suspens'!E:E,A61,'📋 Suspens'!O:O,"December 2026"),"")</f>
        <v/>
      </c>
    </row>
  </sheetData>
  <mergeCells count="2">
    <mergeCell ref="A1:M1"/>
    <mergeCell ref="A10:M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6A1B9A"/>
    <outlinePr summaryBelow="1" summaryRight="1"/>
    <pageSetUpPr fitToPage="0"/>
  </sheetPr>
  <dimension ref="A1:E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84" min="1" max="1"/>
    <col width="4" customWidth="1" style="84" min="2" max="2"/>
    <col width="30" customWidth="1" style="84" min="3" max="3"/>
    <col width="4" customWidth="1" style="84" min="4" max="4"/>
    <col width="30" customWidth="1" style="84" min="5" max="5"/>
  </cols>
  <sheetData>
    <row r="1" ht="34.5" customHeight="1" s="85">
      <c r="A1" s="156" t="inlineStr">
        <is>
          <t>PARAMETRES  |  SGCI</t>
        </is>
      </c>
    </row>
    <row r="2" ht="26.25" customHeight="1" s="85">
      <c r="A2" s="157" t="inlineStr">
        <is>
          <t>RAISONS DE SUSPENS (modifiables)</t>
        </is>
      </c>
      <c r="C2" s="158" t="inlineStr">
        <is>
          <t>ANALYSTES (mis a jour depuis Access)</t>
        </is>
      </c>
      <c r="E2" s="159" t="inlineStr">
        <is>
          <t>CHEMIN ACCESS</t>
        </is>
      </c>
    </row>
    <row r="3" ht="27.75" customHeight="1" s="85">
      <c r="A3" s="120" t="inlineStr">
        <is>
          <t>Absence de CREDAPP</t>
        </is>
      </c>
      <c r="C3" s="120" t="n"/>
      <c r="E3" s="160">
        <f>CONFIG!B1</f>
        <v/>
      </c>
    </row>
    <row r="4" ht="21.75" customHeight="1" s="85">
      <c r="A4" s="113" t="inlineStr">
        <is>
          <t>Absence de notice financiere</t>
        </is>
      </c>
      <c r="C4" s="113" t="n"/>
      <c r="E4" s="161" t="inlineStr">
        <is>
          <t>Pour modifier : aller dans CONFIG &gt; cellule B1</t>
        </is>
      </c>
    </row>
    <row r="5" ht="21.75" customHeight="1" s="85">
      <c r="A5" s="120" t="inlineStr">
        <is>
          <t>Absence de page de signature</t>
        </is>
      </c>
      <c r="C5" s="120" t="n"/>
    </row>
    <row r="6" ht="21.75" customHeight="1" s="85">
      <c r="A6" s="113" t="inlineStr">
        <is>
          <t>Absence de rapport CAC ou derogation CRO</t>
        </is>
      </c>
      <c r="C6" s="113" t="n"/>
    </row>
    <row r="7" ht="21.75" customHeight="1" s="85">
      <c r="A7" s="120" t="inlineStr">
        <is>
          <t>Absence de fiche KYC</t>
        </is>
      </c>
      <c r="C7" s="120" t="n"/>
    </row>
    <row r="8" ht="21.75" customHeight="1" s="85">
      <c r="A8" s="113" t="inlineStr">
        <is>
          <t>Absence des fiches RBO</t>
        </is>
      </c>
      <c r="C8" s="113" t="n"/>
    </row>
    <row r="9" ht="21.75" customHeight="1" s="85">
      <c r="A9" s="120" t="inlineStr">
        <is>
          <t>Absence de la fiche CLEO</t>
        </is>
      </c>
      <c r="C9" s="120" t="n"/>
    </row>
    <row r="10" ht="21.75" customHeight="1" s="85">
      <c r="A10" s="113" t="inlineStr">
        <is>
          <t>Absence de la GL du PCRU</t>
        </is>
      </c>
      <c r="C10" s="113" t="n"/>
    </row>
    <row r="11" ht="21.75" customHeight="1" s="85">
      <c r="A11" s="120" t="inlineStr">
        <is>
          <t>Absence de projet de note NOVA</t>
        </is>
      </c>
      <c r="C11" s="120" t="n"/>
    </row>
    <row r="12" ht="21.75" customHeight="1" s="85">
      <c r="A12" s="113" t="inlineStr">
        <is>
          <t>Absence de la fiche RSE</t>
        </is>
      </c>
      <c r="C12" s="113" t="n"/>
    </row>
    <row r="13" ht="21.75" customHeight="1" s="85">
      <c r="A13" s="120" t="inlineStr">
        <is>
          <t>Absence de quitus fiscal</t>
        </is>
      </c>
      <c r="C13" s="120" t="n"/>
    </row>
    <row r="14" ht="21.75" customHeight="1" s="85">
      <c r="A14" s="113" t="inlineStr">
        <is>
          <t>Absence de fiche BIC</t>
        </is>
      </c>
      <c r="C14" s="113" t="n"/>
    </row>
    <row r="15" ht="21.75" customHeight="1" s="85">
      <c r="A15" s="120" t="inlineStr">
        <is>
          <t>Absence de mail de formalisation de garanties</t>
        </is>
      </c>
      <c r="C15" s="120" t="n"/>
    </row>
    <row r="16" ht="21.75" customHeight="1" s="85">
      <c r="A16" s="113" t="inlineStr">
        <is>
          <t>Absence de chiffres intermediaires</t>
        </is>
      </c>
      <c r="C16" s="113" t="n"/>
    </row>
    <row r="17" ht="21.75" customHeight="1" s="85">
      <c r="A17" s="120" t="inlineStr">
        <is>
          <t>Absence de plan de tresorerie</t>
        </is>
      </c>
      <c r="C17" s="120" t="n"/>
    </row>
    <row r="18" ht="21.75" customHeight="1" s="85">
      <c r="A18" s="113" t="inlineStr">
        <is>
          <t>Absence de PV de continuite</t>
        </is>
      </c>
      <c r="C18" s="113" t="n"/>
    </row>
    <row r="19" ht="21.75" customHeight="1" s="85">
      <c r="A19" s="120" t="inlineStr">
        <is>
          <t>Absence de visibilite groupe</t>
        </is>
      </c>
      <c r="C19" s="120" t="n"/>
    </row>
    <row r="20" ht="21.75" customHeight="1" s="85">
      <c r="A20" s="113" t="inlineStr">
        <is>
          <t>Renseignement incomplet CREDAPP</t>
        </is>
      </c>
      <c r="C20" s="113" t="n"/>
    </row>
    <row r="21" ht="21.75" customHeight="1" s="85">
      <c r="A21" s="120" t="inlineStr">
        <is>
          <t>Incoherence liasse fiscale / NF</t>
        </is>
      </c>
      <c r="C21" s="120" t="n"/>
    </row>
    <row r="22" ht="21.75" customHeight="1" s="85">
      <c r="A22" s="113" t="inlineStr">
        <is>
          <t>Variations EF non commentees</t>
        </is>
      </c>
      <c r="C22" s="113" t="n"/>
    </row>
    <row r="23" ht="21.75" customHeight="1" s="85">
      <c r="A23" s="120" t="inlineStr">
        <is>
          <t>Absence visibilite maison mere</t>
        </is>
      </c>
      <c r="C23" s="120" t="n"/>
    </row>
    <row r="24" ht="21.75" customHeight="1" s="85">
      <c r="A24" s="113" t="inlineStr">
        <is>
          <t>Absence d explication sur les lignes</t>
        </is>
      </c>
      <c r="C24" s="113" t="n"/>
    </row>
    <row r="25" ht="21.75" customHeight="1" s="85">
      <c r="A25" s="120" t="inlineStr">
        <is>
          <t>Absence de commentaires reserves</t>
        </is>
      </c>
      <c r="C25" s="120" t="n"/>
    </row>
    <row r="26" ht="21.75" customHeight="1" s="85">
      <c r="A26" s="113" t="inlineStr">
        <is>
          <t>Absence hypotheses cash-flow</t>
        </is>
      </c>
      <c r="C26" s="113" t="n"/>
    </row>
    <row r="27" ht="21.75" customHeight="1" s="85">
      <c r="A27" s="120" t="inlineStr">
        <is>
          <t>Tableau projections cash-flow absent</t>
        </is>
      </c>
      <c r="C27" s="120" t="n"/>
    </row>
    <row r="28" ht="21.75" customHeight="1" s="85">
      <c r="A28" s="113" t="inlineStr">
        <is>
          <t>Non transmission contrats marches</t>
        </is>
      </c>
      <c r="C28" s="113" t="n"/>
    </row>
    <row r="29" ht="21.75" customHeight="1" s="85">
      <c r="A29" s="120" t="inlineStr">
        <is>
          <t>Autre</t>
        </is>
      </c>
      <c r="C29" s="120" t="n"/>
    </row>
    <row r="30" ht="21.75" customHeight="1" s="85">
      <c r="C30" s="113" t="n"/>
    </row>
    <row r="31" ht="21.75" customHeight="1" s="85">
      <c r="C31" s="162" t="inlineStr">
        <is>
          <t>-&gt; Mis a jour automatiquement a chaque actualisation Access</t>
        </is>
      </c>
    </row>
    <row r="32" ht="21.75" customHeight="1" s="85">
      <c r="C32" s="113" t="n"/>
    </row>
    <row r="33" ht="21.75" customHeight="1" s="85">
      <c r="C33" s="120" t="n"/>
    </row>
    <row r="34" ht="21.75" customHeight="1" s="85">
      <c r="C34" s="113" t="n"/>
    </row>
    <row r="35" ht="21.75" customHeight="1" s="85">
      <c r="C35" s="120" t="n"/>
    </row>
    <row r="36" ht="21.75" customHeight="1" s="85">
      <c r="C36" s="113" t="n"/>
    </row>
    <row r="37" ht="21.75" customHeight="1" s="85">
      <c r="C37" s="120" t="n"/>
    </row>
    <row r="38" ht="21.75" customHeight="1" s="85">
      <c r="C38" s="113" t="n"/>
    </row>
    <row r="39" ht="21.75" customHeight="1" s="85">
      <c r="C39" s="120" t="n"/>
    </row>
    <row r="40" ht="21.75" customHeight="1" s="85">
      <c r="C40" s="113" t="n"/>
    </row>
    <row r="41" ht="21.75" customHeight="1" s="85">
      <c r="C41" s="120" t="n"/>
    </row>
    <row r="42" ht="21.75" customHeight="1" s="85">
      <c r="C42" s="113" t="n"/>
    </row>
    <row r="43" ht="21.75" customHeight="1" s="85">
      <c r="C43" s="120" t="n"/>
    </row>
    <row r="44" ht="21.75" customHeight="1" s="85">
      <c r="C44" s="113" t="n"/>
    </row>
    <row r="45" ht="21.75" customHeight="1" s="85">
      <c r="C45" s="120" t="n"/>
    </row>
    <row r="46" ht="21.75" customHeight="1" s="85">
      <c r="C46" s="113" t="n"/>
    </row>
    <row r="47" ht="21.75" customHeight="1" s="85">
      <c r="C47" s="120" t="n"/>
    </row>
    <row r="48" ht="21.75" customHeight="1" s="85">
      <c r="C48" s="113" t="n"/>
    </row>
    <row r="49" ht="21.75" customHeight="1" s="85">
      <c r="C49" s="120" t="n"/>
    </row>
    <row r="50" ht="21.75" customHeight="1" s="85">
      <c r="C50" s="113" t="n"/>
    </row>
    <row r="51" ht="21.75" customHeight="1" s="85">
      <c r="C51" s="120" t="n"/>
    </row>
    <row r="52" ht="21.75" customHeight="1" s="85">
      <c r="C52" s="113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B71C1C"/>
    <outlinePr summaryBelow="1" summaryRight="1"/>
    <pageSetUpPr fitToPage="0"/>
  </sheetPr>
  <dimension ref="A1:B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84" min="1" max="1"/>
    <col width="110" customWidth="1" style="84" min="2" max="2"/>
  </cols>
  <sheetData>
    <row r="1" ht="39.75" customHeight="1" s="85">
      <c r="A1" s="163" t="inlineStr">
        <is>
          <t>INSTALLATION VBA  |  A FAIRE UNE SEULE FOIS</t>
        </is>
      </c>
    </row>
    <row r="2"/>
    <row r="3" ht="25.5" customHeight="1" s="85">
      <c r="A3" s="164" t="inlineStr">
        <is>
          <t>1</t>
        </is>
      </c>
      <c r="B3" s="165" t="inlineStr">
        <is>
          <t>Sauvegarder ce fichier en .xlsm : Fichier &gt; Enregistrer sous &gt; Excel avec macros (.xlsm)</t>
        </is>
      </c>
    </row>
    <row r="4" ht="25.5" customHeight="1" s="85">
      <c r="A4" s="164" t="inlineStr">
        <is>
          <t>2</t>
        </is>
      </c>
      <c r="B4" s="117" t="inlineStr">
        <is>
          <t>Ouvrir l'editeur VBA : Alt + F11</t>
        </is>
      </c>
    </row>
    <row r="5" ht="25.5" customHeight="1" s="85">
      <c r="A5" s="164" t="inlineStr">
        <is>
          <t>3</t>
        </is>
      </c>
      <c r="B5" s="165" t="inlineStr">
        <is>
          <t>Dans le menu : Insertion &gt; Module  (un nouveau module vide s'ouvre)</t>
        </is>
      </c>
    </row>
    <row r="6" ht="25.5" customHeight="1" s="85">
      <c r="A6" s="164" t="inlineStr">
        <is>
          <t>4</t>
        </is>
      </c>
      <c r="B6" s="117" t="inlineStr">
        <is>
          <t>Selectionner TOUT le code ci-dessous (a partir de 'Option Explicit') et le coller dans le module</t>
        </is>
      </c>
    </row>
    <row r="7" ht="25.5" customHeight="1" s="85">
      <c r="A7" s="164" t="inlineStr">
        <is>
          <t>5</t>
        </is>
      </c>
      <c r="B7" s="165" t="inlineStr">
        <is>
          <t>Fermer l'editeur VBA (Alt+F4)</t>
        </is>
      </c>
    </row>
    <row r="8" ht="25.5" customHeight="1" s="85">
      <c r="A8" s="164" t="inlineStr">
        <is>
          <t>6</t>
        </is>
      </c>
      <c r="B8" s="117" t="inlineStr">
        <is>
          <t>Dans la feuille Accueil : faire un clic droit sur la cellule verte 'ACTUALISER' &gt; Affecter une macro &gt; ActualiserDepuisAccess</t>
        </is>
      </c>
    </row>
    <row r="9" ht="25.5" customHeight="1" s="85">
      <c r="A9" s="164" t="inlineStr">
        <is>
          <t>7</t>
        </is>
      </c>
      <c r="B9" s="165" t="inlineStr">
        <is>
          <t>Aller dans CONFIG (feuille cachee) ou Parametres &gt; modifier le chemin Access en cellule B1 / E3</t>
        </is>
      </c>
    </row>
    <row r="10" ht="25.5" customHeight="1" s="85">
      <c r="A10" s="164" t="inlineStr">
        <is>
          <t>8</t>
        </is>
      </c>
      <c r="B10" s="117" t="inlineStr">
        <is>
          <t>Cliquer sur ACTUALISER pour tester la connexion</t>
        </is>
      </c>
    </row>
    <row r="11"/>
    <row r="12" ht="7.5" customHeight="1" s="85"/>
    <row r="13" ht="24.75" customHeight="1" s="85">
      <c r="A13" s="166" t="inlineStr">
        <is>
          <t>CODE VBA A COPIER INTEGRALEMENT DANS LE MODULE  (commencer a 'Option Explicit')</t>
        </is>
      </c>
    </row>
    <row r="14" ht="14" customHeight="1" s="85">
      <c r="A14" s="169" t="n">
        <v>1</v>
      </c>
      <c r="B14" s="170" t="inlineStr">
        <is>
          <t>Option Explicit</t>
        </is>
      </c>
    </row>
    <row r="15" ht="14" customHeight="1" s="85">
      <c r="A15" s="169" t="n">
        <v>2</v>
      </c>
      <c r="B15" s="170" t="inlineStr"/>
    </row>
    <row r="16" ht="14" customHeight="1" s="85">
      <c r="A16" s="169" t="n">
        <v>3</v>
      </c>
      <c r="B16" s="170" t="inlineStr">
        <is>
          <t>' ================================================================</t>
        </is>
      </c>
    </row>
    <row r="17" ht="14" customHeight="1" s="85">
      <c r="A17" s="169" t="n">
        <v>4</v>
      </c>
      <c r="B17" s="170" t="inlineStr">
        <is>
          <t>' SUIVI DES SUSPENS - SGCI</t>
        </is>
      </c>
    </row>
    <row r="18" ht="14" customHeight="1" s="85">
      <c r="A18" s="169" t="n">
        <v>5</v>
      </c>
      <c r="B18" s="170" t="inlineStr">
        <is>
          <t>' Index feuilles : 1=CONFIG 2=Accueil 3=DonneesAccess</t>
        </is>
      </c>
    </row>
    <row r="19" ht="14" customHeight="1" s="85">
      <c r="A19" s="169" t="n">
        <v>6</v>
      </c>
      <c r="B19" s="170" t="inlineStr">
        <is>
          <t>'                  4=Suspens 5=Statistiques 6=Graphiques</t>
        </is>
      </c>
    </row>
    <row r="20" ht="14" customHeight="1" s="85">
      <c r="A20" s="169" t="n">
        <v>7</v>
      </c>
      <c r="B20" s="170" t="inlineStr">
        <is>
          <t>'                  7=Mensuel 8=Parametres 9=VBASetup</t>
        </is>
      </c>
    </row>
    <row r="21" ht="14" customHeight="1" s="85">
      <c r="A21" s="169" t="n">
        <v>8</v>
      </c>
      <c r="B21" s="170" t="inlineStr">
        <is>
          <t>' ================================================================</t>
        </is>
      </c>
    </row>
    <row r="22" ht="14" customHeight="1" s="85">
      <c r="A22" s="169" t="n">
        <v>9</v>
      </c>
      <c r="B22" s="170" t="inlineStr"/>
    </row>
    <row r="23" ht="14" customHeight="1" s="85">
      <c r="A23" s="169" t="n">
        <v>10</v>
      </c>
      <c r="B23" s="170" t="inlineStr">
        <is>
          <t>Function NzStr(val As Variant, defaut As String) As String</t>
        </is>
      </c>
    </row>
    <row r="24" ht="14" customHeight="1" s="85">
      <c r="A24" s="169" t="n">
        <v>11</v>
      </c>
      <c r="B24" s="170" t="inlineStr">
        <is>
          <t xml:space="preserve">    If IsNull(val) Or IsEmpty(val) Then</t>
        </is>
      </c>
    </row>
    <row r="25" ht="14" customHeight="1" s="85">
      <c r="A25" s="169" t="n">
        <v>12</v>
      </c>
      <c r="B25" s="170" t="inlineStr">
        <is>
          <t xml:space="preserve">        NzStr = defaut</t>
        </is>
      </c>
    </row>
    <row r="26" ht="14" customHeight="1" s="85">
      <c r="A26" s="169" t="n">
        <v>13</v>
      </c>
      <c r="B26" s="170" t="inlineStr">
        <is>
          <t xml:space="preserve">    Else</t>
        </is>
      </c>
    </row>
    <row r="27" ht="14" customHeight="1" s="85">
      <c r="A27" s="169" t="n">
        <v>14</v>
      </c>
      <c r="B27" s="170" t="inlineStr">
        <is>
          <t xml:space="preserve">        NzStr = Trim(CStr(val))</t>
        </is>
      </c>
    </row>
    <row r="28" ht="14" customHeight="1" s="85">
      <c r="A28" s="169" t="n">
        <v>15</v>
      </c>
      <c r="B28" s="170" t="inlineStr">
        <is>
          <t xml:space="preserve">    End If</t>
        </is>
      </c>
    </row>
    <row r="29" ht="14" customHeight="1" s="85">
      <c r="A29" s="169" t="n">
        <v>16</v>
      </c>
      <c r="B29" s="170" t="inlineStr">
        <is>
          <t>End Function</t>
        </is>
      </c>
    </row>
    <row r="30" ht="14" customHeight="1" s="85">
      <c r="A30" s="169" t="n">
        <v>17</v>
      </c>
      <c r="B30" s="170" t="inlineStr"/>
    </row>
    <row r="31" ht="14" customHeight="1" s="85">
      <c r="A31" s="169" t="n">
        <v>18</v>
      </c>
      <c r="B31" s="170" t="inlineStr">
        <is>
          <t>Function ConnecterAccess(sPath As String) As Object</t>
        </is>
      </c>
    </row>
    <row r="32" ht="14" customHeight="1" s="85">
      <c r="A32" s="169" t="n">
        <v>19</v>
      </c>
      <c r="B32" s="170" t="inlineStr">
        <is>
          <t xml:space="preserve">    Dim cn As Object</t>
        </is>
      </c>
    </row>
    <row r="33" ht="14" customHeight="1" s="85">
      <c r="A33" s="169" t="n">
        <v>20</v>
      </c>
      <c r="B33" s="170" t="inlineStr">
        <is>
          <t xml:space="preserve">    Dim providers(1) As String</t>
        </is>
      </c>
    </row>
    <row r="34" ht="14" customHeight="1" s="85">
      <c r="A34" s="169" t="n">
        <v>21</v>
      </c>
      <c r="B34" s="170" t="inlineStr">
        <is>
          <t xml:space="preserve">    providers(0) = "Microsoft.ACE.OLEDB.16.0"</t>
        </is>
      </c>
    </row>
    <row r="35" ht="14" customHeight="1" s="85">
      <c r="A35" s="169" t="n">
        <v>22</v>
      </c>
      <c r="B35" s="170" t="inlineStr">
        <is>
          <t xml:space="preserve">    providers(1) = "Microsoft.ACE.OLEDB.12.0"</t>
        </is>
      </c>
    </row>
    <row r="36" ht="14" customHeight="1" s="85">
      <c r="A36" s="169" t="n">
        <v>23</v>
      </c>
      <c r="B36" s="170" t="inlineStr">
        <is>
          <t xml:space="preserve">    Dim p As Integer</t>
        </is>
      </c>
    </row>
    <row r="37" ht="14" customHeight="1" s="85">
      <c r="A37" s="169" t="n">
        <v>24</v>
      </c>
      <c r="B37" s="170" t="inlineStr">
        <is>
          <t xml:space="preserve">    For p = 0 To 1</t>
        </is>
      </c>
    </row>
    <row r="38" ht="14" customHeight="1" s="85">
      <c r="A38" s="169" t="n">
        <v>25</v>
      </c>
      <c r="B38" s="170" t="inlineStr">
        <is>
          <t xml:space="preserve">        Set cn = CreateObject("ADODB.Connection")</t>
        </is>
      </c>
    </row>
    <row r="39" ht="14" customHeight="1" s="85">
      <c r="A39" s="169" t="n">
        <v>26</v>
      </c>
      <c r="B39" s="170" t="inlineStr">
        <is>
          <t xml:space="preserve">        cn.ConnectionString = "Provider=" &amp; providers(p) &amp; _</t>
        </is>
      </c>
    </row>
    <row r="40" ht="14" customHeight="1" s="85">
      <c r="A40" s="169" t="n">
        <v>27</v>
      </c>
      <c r="B40" s="170" t="inlineStr">
        <is>
          <t xml:space="preserve">                              ";Data Source=" &amp; sPath &amp; _</t>
        </is>
      </c>
    </row>
    <row r="41" ht="14" customHeight="1" s="85">
      <c r="A41" s="169" t="n">
        <v>28</v>
      </c>
      <c r="B41" s="170" t="inlineStr">
        <is>
          <t xml:space="preserve">                              ";Persist Security Info=False;"</t>
        </is>
      </c>
    </row>
    <row r="42" ht="14" customHeight="1" s="85">
      <c r="A42" s="169" t="n">
        <v>29</v>
      </c>
      <c r="B42" s="170" t="inlineStr">
        <is>
          <t xml:space="preserve">        On Error Resume Next</t>
        </is>
      </c>
    </row>
    <row r="43" ht="14" customHeight="1" s="85">
      <c r="A43" s="169" t="n">
        <v>30</v>
      </c>
      <c r="B43" s="170" t="inlineStr">
        <is>
          <t xml:space="preserve">        Err.Clear</t>
        </is>
      </c>
    </row>
    <row r="44" ht="14" customHeight="1" s="85">
      <c r="A44" s="169" t="n">
        <v>31</v>
      </c>
      <c r="B44" s="170" t="inlineStr">
        <is>
          <t xml:space="preserve">        cn.Open</t>
        </is>
      </c>
    </row>
    <row r="45" ht="14" customHeight="1" s="85">
      <c r="A45" s="169" t="n">
        <v>32</v>
      </c>
      <c r="B45" s="170" t="inlineStr">
        <is>
          <t xml:space="preserve">        If Err.Number = 0 Then</t>
        </is>
      </c>
    </row>
    <row r="46" ht="14" customHeight="1" s="85">
      <c r="A46" s="169" t="n">
        <v>33</v>
      </c>
      <c r="B46" s="170" t="inlineStr">
        <is>
          <t xml:space="preserve">            On Error GoTo 0</t>
        </is>
      </c>
    </row>
    <row r="47" ht="14" customHeight="1" s="85">
      <c r="A47" s="169" t="n">
        <v>34</v>
      </c>
      <c r="B47" s="170" t="inlineStr">
        <is>
          <t xml:space="preserve">            Set ConnecterAccess = cn</t>
        </is>
      </c>
    </row>
    <row r="48" ht="14" customHeight="1" s="85">
      <c r="A48" s="169" t="n">
        <v>35</v>
      </c>
      <c r="B48" s="170" t="inlineStr">
        <is>
          <t xml:space="preserve">            Exit Function</t>
        </is>
      </c>
    </row>
    <row r="49" ht="14" customHeight="1" s="85">
      <c r="A49" s="169" t="n">
        <v>36</v>
      </c>
      <c r="B49" s="170" t="inlineStr">
        <is>
          <t xml:space="preserve">        End If</t>
        </is>
      </c>
    </row>
    <row r="50" ht="14" customHeight="1" s="85">
      <c r="A50" s="169" t="n">
        <v>37</v>
      </c>
      <c r="B50" s="170" t="inlineStr">
        <is>
          <t xml:space="preserve">        On Error GoTo 0</t>
        </is>
      </c>
    </row>
    <row r="51" ht="14" customHeight="1" s="85">
      <c r="A51" s="169" t="n">
        <v>38</v>
      </c>
      <c r="B51" s="170" t="inlineStr">
        <is>
          <t xml:space="preserve">        Set cn = Nothing</t>
        </is>
      </c>
    </row>
    <row r="52" ht="14" customHeight="1" s="85">
      <c r="A52" s="169" t="n">
        <v>39</v>
      </c>
      <c r="B52" s="170" t="inlineStr">
        <is>
          <t xml:space="preserve">    Next p</t>
        </is>
      </c>
    </row>
    <row r="53" ht="14" customHeight="1" s="85">
      <c r="A53" s="169" t="n">
        <v>40</v>
      </c>
      <c r="B53" s="170" t="inlineStr">
        <is>
          <t xml:space="preserve">    Set ConnecterAccess = Nothing</t>
        </is>
      </c>
    </row>
    <row r="54" ht="14" customHeight="1" s="85">
      <c r="A54" s="169" t="n">
        <v>41</v>
      </c>
      <c r="B54" s="170" t="inlineStr">
        <is>
          <t>End Function</t>
        </is>
      </c>
    </row>
    <row r="55" ht="14" customHeight="1" s="85">
      <c r="A55" s="169" t="n">
        <v>42</v>
      </c>
      <c r="B55" s="170" t="inlineStr"/>
    </row>
    <row r="56" ht="14" customHeight="1" s="85">
      <c r="A56" s="169" t="n">
        <v>43</v>
      </c>
      <c r="B56" s="170" t="inlineStr">
        <is>
          <t>Function LireChamp(rs As Object, nomChamp As String) As Variant</t>
        </is>
      </c>
    </row>
    <row r="57" ht="14" customHeight="1" s="85">
      <c r="A57" s="169" t="n">
        <v>44</v>
      </c>
      <c r="B57" s="170" t="inlineStr">
        <is>
          <t xml:space="preserve">    On Error Resume Next</t>
        </is>
      </c>
    </row>
    <row r="58" ht="14" customHeight="1" s="85">
      <c r="A58" s="169" t="n">
        <v>45</v>
      </c>
      <c r="B58" s="170" t="inlineStr">
        <is>
          <t xml:space="preserve">    LireChamp = rs.Fields(nomChamp).Value</t>
        </is>
      </c>
    </row>
    <row r="59" ht="14" customHeight="1" s="85">
      <c r="A59" s="169" t="n">
        <v>46</v>
      </c>
      <c r="B59" s="170" t="inlineStr">
        <is>
          <t xml:space="preserve">    If Err.Number &lt;&gt; 0 Then</t>
        </is>
      </c>
    </row>
    <row r="60" ht="14" customHeight="1" s="85">
      <c r="A60" s="169" t="n">
        <v>47</v>
      </c>
      <c r="B60" s="170" t="inlineStr">
        <is>
          <t xml:space="preserve">        LireChamp = Null</t>
        </is>
      </c>
    </row>
    <row r="61" ht="14" customHeight="1" s="85">
      <c r="A61" s="169" t="n">
        <v>48</v>
      </c>
      <c r="B61" s="170" t="inlineStr">
        <is>
          <t xml:space="preserve">        Err.Clear</t>
        </is>
      </c>
    </row>
    <row r="62" ht="14" customHeight="1" s="85">
      <c r="A62" s="169" t="n">
        <v>49</v>
      </c>
      <c r="B62" s="170" t="inlineStr">
        <is>
          <t xml:space="preserve">    End If</t>
        </is>
      </c>
    </row>
    <row r="63" ht="14" customHeight="1" s="85">
      <c r="A63" s="169" t="n">
        <v>50</v>
      </c>
      <c r="B63" s="170" t="inlineStr">
        <is>
          <t xml:space="preserve">    On Error GoTo 0</t>
        </is>
      </c>
    </row>
    <row r="64" ht="14" customHeight="1" s="85">
      <c r="A64" s="169" t="n">
        <v>51</v>
      </c>
      <c r="B64" s="170" t="inlineStr">
        <is>
          <t>End Function</t>
        </is>
      </c>
    </row>
    <row r="65" ht="14" customHeight="1" s="85">
      <c r="A65" s="169" t="n">
        <v>52</v>
      </c>
      <c r="B65" s="170" t="inlineStr"/>
    </row>
    <row r="66" ht="14" customHeight="1" s="85">
      <c r="A66" s="169" t="n">
        <v>53</v>
      </c>
      <c r="B66" s="170" t="inlineStr">
        <is>
          <t>Function CalculerDureeSuspens(dEnvoie1 As Variant, dRetour1 As Variant, _</t>
        </is>
      </c>
    </row>
    <row r="67" ht="14" customHeight="1" s="85">
      <c r="A67" s="169" t="n">
        <v>54</v>
      </c>
      <c r="B67" s="170" t="inlineStr">
        <is>
          <t xml:space="preserve">                               dEnvoie2 As Variant, dRetour2 As Variant, _</t>
        </is>
      </c>
    </row>
    <row r="68" ht="14" customHeight="1" s="85">
      <c r="A68" s="169" t="n">
        <v>55</v>
      </c>
      <c r="B68" s="170" t="inlineStr">
        <is>
          <t xml:space="preserve">                               autresJ  As Variant, _</t>
        </is>
      </c>
    </row>
    <row r="69" ht="14" customHeight="1" s="85">
      <c r="A69" s="169" t="n">
        <v>56</v>
      </c>
      <c r="B69" s="170" t="inlineStr">
        <is>
          <t xml:space="preserve">                               bEnCours As Boolean) As Long</t>
        </is>
      </c>
    </row>
    <row r="70" ht="14" customHeight="1" s="85">
      <c r="A70" s="169" t="n">
        <v>57</v>
      </c>
      <c r="B70" s="170" t="inlineStr">
        <is>
          <t xml:space="preserve">    Dim duree As Long</t>
        </is>
      </c>
    </row>
    <row r="71" ht="14" customHeight="1" s="85">
      <c r="A71" s="169" t="n">
        <v>58</v>
      </c>
      <c r="B71" s="170" t="inlineStr">
        <is>
          <t xml:space="preserve">    duree = 0</t>
        </is>
      </c>
    </row>
    <row r="72" ht="14" customHeight="1" s="85">
      <c r="A72" s="169" t="n">
        <v>59</v>
      </c>
      <c r="B72" s="170" t="inlineStr">
        <is>
          <t xml:space="preserve">    If IsDate(dEnvoie1) Then</t>
        </is>
      </c>
    </row>
    <row r="73" ht="14" customHeight="1" s="85">
      <c r="A73" s="169" t="n">
        <v>60</v>
      </c>
      <c r="B73" s="170" t="inlineStr">
        <is>
          <t xml:space="preserve">        If IsDate(dRetour1) Then</t>
        </is>
      </c>
    </row>
    <row r="74" ht="14" customHeight="1" s="85">
      <c r="A74" s="169" t="n">
        <v>61</v>
      </c>
      <c r="B74" s="170" t="inlineStr">
        <is>
          <t xml:space="preserve">            duree = duree + (CDate(dRetour1) - CDate(dEnvoie1))</t>
        </is>
      </c>
    </row>
    <row r="75" ht="14" customHeight="1" s="85">
      <c r="A75" s="169" t="n">
        <v>62</v>
      </c>
      <c r="B75" s="170" t="inlineStr">
        <is>
          <t xml:space="preserve">        ElseIf bEnCours Then</t>
        </is>
      </c>
    </row>
    <row r="76" ht="14" customHeight="1" s="85">
      <c r="A76" s="169" t="n">
        <v>63</v>
      </c>
      <c r="B76" s="170" t="inlineStr">
        <is>
          <t xml:space="preserve">            duree = duree + (Date - CDate(dEnvoie1))</t>
        </is>
      </c>
    </row>
    <row r="77" ht="14" customHeight="1" s="85">
      <c r="A77" s="169" t="n">
        <v>64</v>
      </c>
      <c r="B77" s="170" t="inlineStr">
        <is>
          <t xml:space="preserve">        End If</t>
        </is>
      </c>
    </row>
    <row r="78" ht="14" customHeight="1" s="85">
      <c r="A78" s="169" t="n">
        <v>65</v>
      </c>
      <c r="B78" s="170" t="inlineStr">
        <is>
          <t xml:space="preserve">    End If</t>
        </is>
      </c>
    </row>
    <row r="79" ht="14" customHeight="1" s="85">
      <c r="A79" s="169" t="n">
        <v>66</v>
      </c>
      <c r="B79" s="170" t="inlineStr">
        <is>
          <t xml:space="preserve">    If IsDate(dEnvoie2) Then</t>
        </is>
      </c>
    </row>
    <row r="80" ht="14" customHeight="1" s="85">
      <c r="A80" s="169" t="n">
        <v>67</v>
      </c>
      <c r="B80" s="170" t="inlineStr">
        <is>
          <t xml:space="preserve">        If IsDate(dRetour2) Then</t>
        </is>
      </c>
    </row>
    <row r="81" ht="14" customHeight="1" s="85">
      <c r="A81" s="169" t="n">
        <v>68</v>
      </c>
      <c r="B81" s="170" t="inlineStr">
        <is>
          <t xml:space="preserve">            duree = duree + (CDate(dRetour2) - CDate(dEnvoie2))</t>
        </is>
      </c>
    </row>
    <row r="82" ht="14" customHeight="1" s="85">
      <c r="A82" s="169" t="n">
        <v>69</v>
      </c>
      <c r="B82" s="170" t="inlineStr">
        <is>
          <t xml:space="preserve">        ElseIf bEnCours Then</t>
        </is>
      </c>
    </row>
    <row r="83" ht="14" customHeight="1" s="85">
      <c r="A83" s="169" t="n">
        <v>70</v>
      </c>
      <c r="B83" s="170" t="inlineStr">
        <is>
          <t xml:space="preserve">            duree = duree + (Date - CDate(dEnvoie2))</t>
        </is>
      </c>
    </row>
    <row r="84" ht="14" customHeight="1" s="85">
      <c r="A84" s="169" t="n">
        <v>71</v>
      </c>
      <c r="B84" s="170" t="inlineStr">
        <is>
          <t xml:space="preserve">        End If</t>
        </is>
      </c>
    </row>
    <row r="85" ht="14" customHeight="1" s="85">
      <c r="A85" s="169" t="n">
        <v>72</v>
      </c>
      <c r="B85" s="170" t="inlineStr">
        <is>
          <t xml:space="preserve">    End If</t>
        </is>
      </c>
    </row>
    <row r="86" ht="14" customHeight="1" s="85">
      <c r="A86" s="169" t="n">
        <v>73</v>
      </c>
      <c r="B86" s="170" t="inlineStr">
        <is>
          <t xml:space="preserve">    If IsNumeric(autresJ) Then</t>
        </is>
      </c>
    </row>
    <row r="87" ht="14" customHeight="1" s="85">
      <c r="A87" s="169" t="n">
        <v>74</v>
      </c>
      <c r="B87" s="170" t="inlineStr">
        <is>
          <t xml:space="preserve">        If CLng(autresJ) &gt; 0 Then duree = duree + CLng(autresJ)</t>
        </is>
      </c>
    </row>
    <row r="88" ht="14" customHeight="1" s="85">
      <c r="A88" s="169" t="n">
        <v>75</v>
      </c>
      <c r="B88" s="170" t="inlineStr">
        <is>
          <t xml:space="preserve">    End If</t>
        </is>
      </c>
    </row>
    <row r="89" ht="14" customHeight="1" s="85">
      <c r="A89" s="169" t="n">
        <v>76</v>
      </c>
      <c r="B89" s="170" t="inlineStr">
        <is>
          <t xml:space="preserve">    If duree &lt; 0 Then duree = 0</t>
        </is>
      </c>
    </row>
    <row r="90" ht="14" customHeight="1" s="85">
      <c r="A90" s="169" t="n">
        <v>77</v>
      </c>
      <c r="B90" s="170" t="inlineStr">
        <is>
          <t xml:space="preserve">    CalculerDureeSuspens = duree</t>
        </is>
      </c>
    </row>
    <row r="91" ht="14" customHeight="1" s="85">
      <c r="A91" s="169" t="n">
        <v>78</v>
      </c>
      <c r="B91" s="170" t="inlineStr">
        <is>
          <t>End Function</t>
        </is>
      </c>
    </row>
    <row r="92" ht="14" customHeight="1" s="85">
      <c r="A92" s="169" t="n">
        <v>79</v>
      </c>
      <c r="B92" s="170" t="inlineStr"/>
    </row>
    <row r="93" ht="14" customHeight="1" s="85">
      <c r="A93" s="169" t="n">
        <v>80</v>
      </c>
      <c r="B93" s="170" t="inlineStr">
        <is>
          <t>' Ecrire dans une cellule en evitant les cellules fusionnees</t>
        </is>
      </c>
    </row>
    <row r="94" ht="14" customHeight="1" s="85">
      <c r="A94" s="169" t="n">
        <v>81</v>
      </c>
      <c r="B94" s="170" t="inlineStr">
        <is>
          <t>Sub EcrireCell(ws As Worksheet, r As Long, c As Long, val As Variant)</t>
        </is>
      </c>
    </row>
    <row r="95" ht="14" customHeight="1" s="85">
      <c r="A95" s="169" t="n">
        <v>82</v>
      </c>
      <c r="B95" s="170" t="inlineStr">
        <is>
          <t xml:space="preserve">    On Error Resume Next</t>
        </is>
      </c>
    </row>
    <row r="96" ht="14" customHeight="1" s="85">
      <c r="A96" s="169" t="n">
        <v>83</v>
      </c>
      <c r="B96" s="170" t="inlineStr">
        <is>
          <t xml:space="preserve">    If ws.Cells(r, c).MergeCells Then Exit Sub</t>
        </is>
      </c>
    </row>
    <row r="97" ht="14" customHeight="1" s="85">
      <c r="A97" s="169" t="n">
        <v>84</v>
      </c>
      <c r="B97" s="170" t="inlineStr">
        <is>
          <t xml:space="preserve">    ws.Cells(r, c).Value = val</t>
        </is>
      </c>
    </row>
    <row r="98" ht="14" customHeight="1" s="85">
      <c r="A98" s="169" t="n">
        <v>85</v>
      </c>
      <c r="B98" s="170" t="inlineStr">
        <is>
          <t xml:space="preserve">    On Error GoTo 0</t>
        </is>
      </c>
    </row>
    <row r="99" ht="14" customHeight="1" s="85">
      <c r="A99" s="169" t="n">
        <v>86</v>
      </c>
      <c r="B99" s="170" t="inlineStr">
        <is>
          <t>End Sub</t>
        </is>
      </c>
    </row>
    <row r="100" ht="14" customHeight="1" s="85">
      <c r="A100" s="169" t="n">
        <v>87</v>
      </c>
      <c r="B100" s="170" t="inlineStr"/>
    </row>
    <row r="101" ht="14" customHeight="1" s="85">
      <c r="A101" s="169" t="n">
        <v>88</v>
      </c>
      <c r="B101" s="170" t="inlineStr">
        <is>
          <t>Sub ActualiserDepuisAccess()</t>
        </is>
      </c>
    </row>
    <row r="102" ht="14" customHeight="1" s="85">
      <c r="A102" s="169" t="n">
        <v>89</v>
      </c>
      <c r="B102" s="170" t="inlineStr"/>
    </row>
    <row r="103" ht="14" customHeight="1" s="85">
      <c r="A103" s="169" t="n">
        <v>90</v>
      </c>
      <c r="B103" s="170" t="inlineStr">
        <is>
          <t xml:space="preserve">    Dim sPath    As String</t>
        </is>
      </c>
    </row>
    <row r="104" ht="14" customHeight="1" s="85">
      <c r="A104" s="169" t="n">
        <v>91</v>
      </c>
      <c r="B104" s="170" t="inlineStr">
        <is>
          <t xml:space="preserve">    Dim conn     As Object</t>
        </is>
      </c>
    </row>
    <row r="105" ht="14" customHeight="1" s="85">
      <c r="A105" s="169" t="n">
        <v>92</v>
      </c>
      <c r="B105" s="170" t="inlineStr">
        <is>
          <t xml:space="preserve">    Dim rs       As Object</t>
        </is>
      </c>
    </row>
    <row r="106" ht="14" customHeight="1" s="85">
      <c r="A106" s="169" t="n">
        <v>93</v>
      </c>
      <c r="B106" s="170" t="inlineStr">
        <is>
          <t xml:space="preserve">    Dim rsAn     As Object</t>
        </is>
      </c>
    </row>
    <row r="107" ht="14" customHeight="1" s="85">
      <c r="A107" s="169" t="n">
        <v>94</v>
      </c>
      <c r="B107" s="170" t="inlineStr">
        <is>
          <t xml:space="preserve">    Dim wsDat    As Worksheet</t>
        </is>
      </c>
    </row>
    <row r="108" ht="14" customHeight="1" s="85">
      <c r="A108" s="169" t="n">
        <v>95</v>
      </c>
      <c r="B108" s="170" t="inlineStr">
        <is>
          <t xml:space="preserve">    Dim wsSus    As Worksheet</t>
        </is>
      </c>
    </row>
    <row r="109" ht="14" customHeight="1" s="85">
      <c r="A109" s="169" t="n">
        <v>96</v>
      </c>
      <c r="B109" s="170" t="inlineStr">
        <is>
          <t xml:space="preserve">    Dim wsCfg    As Worksheet</t>
        </is>
      </c>
    </row>
    <row r="110" ht="14" customHeight="1" s="85">
      <c r="A110" s="169" t="n">
        <v>97</v>
      </c>
      <c r="B110" s="170" t="inlineStr">
        <is>
          <t xml:space="preserve">    Dim wsPrm    As Worksheet</t>
        </is>
      </c>
    </row>
    <row r="111" ht="14" customHeight="1" s="85">
      <c r="A111" s="169" t="n">
        <v>98</v>
      </c>
      <c r="B111" s="170" t="inlineStr">
        <is>
          <t xml:space="preserve">    Dim i        As Long</t>
        </is>
      </c>
    </row>
    <row r="112" ht="14" customHeight="1" s="85">
      <c r="A112" s="169" t="n">
        <v>99</v>
      </c>
      <c r="B112" s="170" t="inlineStr"/>
    </row>
    <row r="113" ht="14" customHeight="1" s="85">
      <c r="A113" s="169" t="n">
        <v>100</v>
      </c>
      <c r="B113" s="170" t="inlineStr">
        <is>
          <t xml:space="preserve">    Application.ScreenUpdating = False</t>
        </is>
      </c>
    </row>
    <row r="114" ht="14" customHeight="1" s="85">
      <c r="A114" s="169" t="n">
        <v>101</v>
      </c>
      <c r="B114" s="170" t="inlineStr">
        <is>
          <t xml:space="preserve">    Application.Calculation = xlCalculationManual</t>
        </is>
      </c>
    </row>
    <row r="115" ht="14" customHeight="1" s="85">
      <c r="A115" s="169" t="n">
        <v>102</v>
      </c>
      <c r="B115" s="170" t="inlineStr"/>
    </row>
    <row r="116" ht="14" customHeight="1" s="85">
      <c r="A116" s="169" t="n">
        <v>103</v>
      </c>
      <c r="B116" s="170" t="inlineStr">
        <is>
          <t xml:space="preserve">    On Error GoTo ErrHandler</t>
        </is>
      </c>
    </row>
    <row r="117" ht="14" customHeight="1" s="85">
      <c r="A117" s="169" t="n">
        <v>104</v>
      </c>
      <c r="B117" s="170" t="inlineStr"/>
    </row>
    <row r="118" ht="14" customHeight="1" s="85">
      <c r="A118" s="169" t="n">
        <v>105</v>
      </c>
      <c r="B118" s="170" t="inlineStr">
        <is>
          <t xml:space="preserve">    Set wsCfg = ThisWorkbook.Sheets(1)</t>
        </is>
      </c>
    </row>
    <row r="119" ht="14" customHeight="1" s="85">
      <c r="A119" s="169" t="n">
        <v>106</v>
      </c>
      <c r="B119" s="170" t="inlineStr">
        <is>
          <t xml:space="preserve">    Set wsDat = ThisWorkbook.Sheets(3)</t>
        </is>
      </c>
    </row>
    <row r="120" ht="14" customHeight="1" s="85">
      <c r="A120" s="169" t="n">
        <v>107</v>
      </c>
      <c r="B120" s="170" t="inlineStr">
        <is>
          <t xml:space="preserve">    Set wsSus = ThisWorkbook.Sheets(4)</t>
        </is>
      </c>
    </row>
    <row r="121" ht="14" customHeight="1" s="85">
      <c r="A121" s="169" t="n">
        <v>108</v>
      </c>
      <c r="B121" s="170" t="inlineStr">
        <is>
          <t xml:space="preserve">    Set wsPrm = ThisWorkbook.Sheets(8)</t>
        </is>
      </c>
    </row>
    <row r="122" ht="14" customHeight="1" s="85">
      <c r="A122" s="169" t="n">
        <v>109</v>
      </c>
      <c r="B122" s="170" t="inlineStr"/>
    </row>
    <row r="123" ht="14" customHeight="1" s="85">
      <c r="A123" s="169" t="n">
        <v>110</v>
      </c>
      <c r="B123" s="170" t="inlineStr">
        <is>
          <t xml:space="preserve">    sPath = Trim(wsCfg.Range("B1").Value)</t>
        </is>
      </c>
    </row>
    <row r="124" ht="14" customHeight="1" s="85">
      <c r="A124" s="169" t="n">
        <v>111</v>
      </c>
      <c r="B124" s="170" t="inlineStr">
        <is>
          <t xml:space="preserve">    If sPath = "" Then</t>
        </is>
      </c>
    </row>
    <row r="125" ht="14" customHeight="1" s="85">
      <c r="A125" s="169" t="n">
        <v>112</v>
      </c>
      <c r="B125" s="170" t="inlineStr">
        <is>
          <t xml:space="preserve">        MsgBox "Chemin Access vide. Renseignez CONFIG &gt; B1.", vbExclamation</t>
        </is>
      </c>
    </row>
    <row r="126" ht="14" customHeight="1" s="85">
      <c r="A126" s="169" t="n">
        <v>113</v>
      </c>
      <c r="B126" s="170" t="inlineStr">
        <is>
          <t xml:space="preserve">        GoTo Cleanup</t>
        </is>
      </c>
    </row>
    <row r="127" ht="14" customHeight="1" s="85">
      <c r="A127" s="169" t="n">
        <v>114</v>
      </c>
      <c r="B127" s="170" t="inlineStr">
        <is>
          <t xml:space="preserve">    End If</t>
        </is>
      </c>
    </row>
    <row r="128" ht="14" customHeight="1" s="85">
      <c r="A128" s="169" t="n">
        <v>115</v>
      </c>
      <c r="B128" s="170" t="inlineStr">
        <is>
          <t xml:space="preserve">    If Dir(sPath) = "" Then</t>
        </is>
      </c>
    </row>
    <row r="129" ht="14" customHeight="1" s="85">
      <c r="A129" s="169" t="n">
        <v>116</v>
      </c>
      <c r="B129" s="170" t="inlineStr">
        <is>
          <t xml:space="preserve">        MsgBox "Fichier introuvable :" &amp; vbCrLf &amp; sPath, vbCritical</t>
        </is>
      </c>
    </row>
    <row r="130" ht="14" customHeight="1" s="85">
      <c r="A130" s="169" t="n">
        <v>117</v>
      </c>
      <c r="B130" s="170" t="inlineStr">
        <is>
          <t xml:space="preserve">        GoTo Cleanup</t>
        </is>
      </c>
    </row>
    <row r="131" ht="14" customHeight="1" s="85">
      <c r="A131" s="169" t="n">
        <v>118</v>
      </c>
      <c r="B131" s="170" t="inlineStr">
        <is>
          <t xml:space="preserve">    End If</t>
        </is>
      </c>
    </row>
    <row r="132" ht="14" customHeight="1" s="85">
      <c r="A132" s="169" t="n">
        <v>119</v>
      </c>
      <c r="B132" s="170" t="inlineStr"/>
    </row>
    <row r="133" ht="14" customHeight="1" s="85">
      <c r="A133" s="169" t="n">
        <v>120</v>
      </c>
      <c r="B133" s="170" t="inlineStr">
        <is>
          <t xml:space="preserve">    Set conn = ConnecterAccess(sPath)</t>
        </is>
      </c>
    </row>
    <row r="134" ht="14" customHeight="1" s="85">
      <c r="A134" s="169" t="n">
        <v>121</v>
      </c>
      <c r="B134" s="170" t="inlineStr">
        <is>
          <t xml:space="preserve">    If conn Is Nothing Then</t>
        </is>
      </c>
    </row>
    <row r="135" ht="14" customHeight="1" s="85">
      <c r="A135" s="169" t="n">
        <v>122</v>
      </c>
      <c r="B135" s="170" t="inlineStr">
        <is>
          <t xml:space="preserve">        MsgBox "Impossible de se connecter a Access.", vbCritical</t>
        </is>
      </c>
    </row>
    <row r="136" ht="14" customHeight="1" s="85">
      <c r="A136" s="169" t="n">
        <v>123</v>
      </c>
      <c r="B136" s="170" t="inlineStr">
        <is>
          <t xml:space="preserve">        GoTo Cleanup</t>
        </is>
      </c>
    </row>
    <row r="137" ht="14" customHeight="1" s="85">
      <c r="A137" s="169" t="n">
        <v>124</v>
      </c>
      <c r="B137" s="170" t="inlineStr">
        <is>
          <t xml:space="preserve">    End If</t>
        </is>
      </c>
    </row>
    <row r="138" ht="14" customHeight="1" s="85">
      <c r="A138" s="169" t="n">
        <v>125</v>
      </c>
      <c r="B138" s="170" t="inlineStr"/>
    </row>
    <row r="139" ht="14" customHeight="1" s="85">
      <c r="A139" s="169" t="n">
        <v>126</v>
      </c>
      <c r="B139" s="170" t="inlineStr">
        <is>
          <t xml:space="preserve">    ' -- Analystes -&gt; Parametres col C --</t>
        </is>
      </c>
    </row>
    <row r="140" ht="14" customHeight="1" s="85">
      <c r="A140" s="169" t="n">
        <v>127</v>
      </c>
      <c r="B140" s="170" t="inlineStr">
        <is>
          <t xml:space="preserve">    Dim lastAnRow As Long</t>
        </is>
      </c>
    </row>
    <row r="141" ht="14" customHeight="1" s="85">
      <c r="A141" s="169" t="n">
        <v>128</v>
      </c>
      <c r="B141" s="170" t="inlineStr">
        <is>
          <t xml:space="preserve">    lastAnRow = wsPrm.Cells(wsPrm.Rows.Count, 3).End(xlUp).Row</t>
        </is>
      </c>
    </row>
    <row r="142" ht="14" customHeight="1" s="85">
      <c r="A142" s="169" t="n">
        <v>129</v>
      </c>
      <c r="B142" s="170" t="inlineStr">
        <is>
          <t xml:space="preserve">    If lastAnRow &gt;= 2 Then wsPrm.Range("C2:C" &amp; lastAnRow).ClearContents</t>
        </is>
      </c>
    </row>
    <row r="143" ht="14" customHeight="1" s="85">
      <c r="A143" s="169" t="n">
        <v>130</v>
      </c>
      <c r="B143" s="170" t="inlineStr"/>
    </row>
    <row r="144" ht="14" customHeight="1" s="85">
      <c r="A144" s="169" t="n">
        <v>131</v>
      </c>
      <c r="B144" s="170" t="inlineStr">
        <is>
          <t xml:space="preserve">    Set rsAn = CreateObject("ADODB.Recordset")</t>
        </is>
      </c>
    </row>
    <row r="145" ht="14" customHeight="1" s="85">
      <c r="A145" s="169" t="n">
        <v>132</v>
      </c>
      <c r="B145" s="170" t="inlineStr">
        <is>
          <t xml:space="preserve">    rsAn.Open "SELECT DISTINCT [ANALYSTE] FROM [DATABASE] " &amp; _</t>
        </is>
      </c>
    </row>
    <row r="146" ht="14" customHeight="1" s="85">
      <c r="A146" s="169" t="n">
        <v>133</v>
      </c>
      <c r="B146" s="170" t="inlineStr">
        <is>
          <t xml:space="preserve">              "WHERE [ANALYSTE] IS NOT NULL AND [ANALYSTE] &lt;&gt; '' " &amp; _</t>
        </is>
      </c>
    </row>
    <row r="147" ht="14" customHeight="1" s="85">
      <c r="A147" s="169" t="n">
        <v>134</v>
      </c>
      <c r="B147" s="170" t="inlineStr">
        <is>
          <t xml:space="preserve">              "ORDER BY [ANALYSTE]", conn, 1, 3</t>
        </is>
      </c>
    </row>
    <row r="148" ht="14" customHeight="1" s="85">
      <c r="A148" s="169" t="n">
        <v>135</v>
      </c>
      <c r="B148" s="170" t="inlineStr"/>
    </row>
    <row r="149" ht="14" customHeight="1" s="85">
      <c r="A149" s="169" t="n">
        <v>136</v>
      </c>
      <c r="B149" s="170" t="inlineStr">
        <is>
          <t xml:space="preserve">    Dim anRow As Long</t>
        </is>
      </c>
    </row>
    <row r="150" ht="14" customHeight="1" s="85">
      <c r="A150" s="169" t="n">
        <v>137</v>
      </c>
      <c r="B150" s="170" t="inlineStr">
        <is>
          <t xml:space="preserve">    anRow = 2</t>
        </is>
      </c>
    </row>
    <row r="151" ht="14" customHeight="1" s="85">
      <c r="A151" s="169" t="n">
        <v>138</v>
      </c>
      <c r="B151" s="170" t="inlineStr">
        <is>
          <t xml:space="preserve">    Do While Not rsAn.EOF</t>
        </is>
      </c>
    </row>
    <row r="152" ht="14" customHeight="1" s="85">
      <c r="A152" s="169" t="n">
        <v>139</v>
      </c>
      <c r="B152" s="170" t="inlineStr">
        <is>
          <t xml:space="preserve">        Dim anName As String</t>
        </is>
      </c>
    </row>
    <row r="153" ht="14" customHeight="1" s="85">
      <c r="A153" s="169" t="n">
        <v>140</v>
      </c>
      <c r="B153" s="170" t="inlineStr">
        <is>
          <t xml:space="preserve">        anName = NzStr(rsAn.Fields(0).Value, "")</t>
        </is>
      </c>
    </row>
    <row r="154" ht="14" customHeight="1" s="85">
      <c r="A154" s="169" t="n">
        <v>141</v>
      </c>
      <c r="B154" s="170" t="inlineStr">
        <is>
          <t xml:space="preserve">        If anName &lt;&gt; "" Then</t>
        </is>
      </c>
    </row>
    <row r="155" ht="14" customHeight="1" s="85">
      <c r="A155" s="169" t="n">
        <v>142</v>
      </c>
      <c r="B155" s="170" t="inlineStr">
        <is>
          <t xml:space="preserve">            wsPrm.Cells(anRow, 3).Value = anName</t>
        </is>
      </c>
    </row>
    <row r="156" ht="14" customHeight="1" s="85">
      <c r="A156" s="169" t="n">
        <v>143</v>
      </c>
      <c r="B156" s="170" t="inlineStr">
        <is>
          <t xml:space="preserve">            wsPrm.Cells(anRow, 3).Font.Name = "Arial"</t>
        </is>
      </c>
    </row>
    <row r="157" ht="14" customHeight="1" s="85">
      <c r="A157" s="169" t="n">
        <v>144</v>
      </c>
      <c r="B157" s="170" t="inlineStr">
        <is>
          <t xml:space="preserve">            wsPrm.Cells(anRow, 3).Font.Size = 10</t>
        </is>
      </c>
    </row>
    <row r="158" ht="14" customHeight="1" s="85">
      <c r="A158" s="169" t="n">
        <v>145</v>
      </c>
      <c r="B158" s="170" t="inlineStr">
        <is>
          <t xml:space="preserve">            If anRow Mod 2 = 0 Then</t>
        </is>
      </c>
    </row>
    <row r="159" ht="14" customHeight="1" s="85">
      <c r="A159" s="169" t="n">
        <v>146</v>
      </c>
      <c r="B159" s="170" t="inlineStr">
        <is>
          <t xml:space="preserve">                wsPrm.Cells(anRow, 3).Interior.Color = RGB(245, 247, 250)</t>
        </is>
      </c>
    </row>
    <row r="160" ht="14" customHeight="1" s="85">
      <c r="A160" s="169" t="n">
        <v>147</v>
      </c>
      <c r="B160" s="170" t="inlineStr">
        <is>
          <t xml:space="preserve">            Else</t>
        </is>
      </c>
    </row>
    <row r="161" ht="14" customHeight="1" s="85">
      <c r="A161" s="169" t="n">
        <v>148</v>
      </c>
      <c r="B161" s="170" t="inlineStr">
        <is>
          <t xml:space="preserve">                wsPrm.Cells(anRow, 3).Interior.Color = RGB(255, 255, 255)</t>
        </is>
      </c>
    </row>
    <row r="162" ht="14" customHeight="1" s="85">
      <c r="A162" s="169" t="n">
        <v>149</v>
      </c>
      <c r="B162" s="170" t="inlineStr">
        <is>
          <t xml:space="preserve">            End If</t>
        </is>
      </c>
    </row>
    <row r="163" ht="14" customHeight="1" s="85">
      <c r="A163" s="169" t="n">
        <v>150</v>
      </c>
      <c r="B163" s="170" t="inlineStr">
        <is>
          <t xml:space="preserve">            anRow = anRow + 1</t>
        </is>
      </c>
    </row>
    <row r="164" ht="14" customHeight="1" s="85">
      <c r="A164" s="169" t="n">
        <v>151</v>
      </c>
      <c r="B164" s="170" t="inlineStr">
        <is>
          <t xml:space="preserve">        End If</t>
        </is>
      </c>
    </row>
    <row r="165" ht="14" customHeight="1" s="85">
      <c r="A165" s="169" t="n">
        <v>152</v>
      </c>
      <c r="B165" s="170" t="inlineStr">
        <is>
          <t xml:space="preserve">        rsAn.MoveNext</t>
        </is>
      </c>
    </row>
    <row r="166" ht="14" customHeight="1" s="85">
      <c r="A166" s="169" t="n">
        <v>153</v>
      </c>
      <c r="B166" s="170" t="inlineStr">
        <is>
          <t xml:space="preserve">    Loop</t>
        </is>
      </c>
    </row>
    <row r="167" ht="14" customHeight="1" s="85">
      <c r="A167" s="169" t="n">
        <v>154</v>
      </c>
      <c r="B167" s="170" t="inlineStr">
        <is>
          <t xml:space="preserve">    rsAn.Close</t>
        </is>
      </c>
    </row>
    <row r="168" ht="14" customHeight="1" s="85">
      <c r="A168" s="169" t="n">
        <v>155</v>
      </c>
      <c r="B168" s="170" t="inlineStr">
        <is>
          <t xml:space="preserve">    Dim nbAnalystes As Long</t>
        </is>
      </c>
    </row>
    <row r="169" ht="14" customHeight="1" s="85">
      <c r="A169" s="169" t="n">
        <v>156</v>
      </c>
      <c r="B169" s="170" t="inlineStr">
        <is>
          <t xml:space="preserve">    nbAnalystes = anRow - 2</t>
        </is>
      </c>
    </row>
    <row r="170" ht="14" customHeight="1" s="85">
      <c r="A170" s="169" t="n">
        <v>157</v>
      </c>
      <c r="B170" s="170" t="inlineStr"/>
    </row>
    <row r="171" ht="14" customHeight="1" s="85">
      <c r="A171" s="169" t="n">
        <v>158</v>
      </c>
      <c r="B171" s="170" t="inlineStr">
        <is>
          <t xml:space="preserve">    ' -- Requete principale --</t>
        </is>
      </c>
    </row>
    <row r="172" ht="14" customHeight="1" s="85">
      <c r="A172" s="169" t="n">
        <v>159</v>
      </c>
      <c r="B172" s="170" t="inlineStr">
        <is>
          <t xml:space="preserve">    Set rs = CreateObject("ADODB.Recordset")</t>
        </is>
      </c>
    </row>
    <row r="173" ht="14" customHeight="1" s="85">
      <c r="A173" s="169" t="n">
        <v>160</v>
      </c>
      <c r="B173" s="170" t="inlineStr">
        <is>
          <t xml:space="preserve">    rs.Open "SELECT * FROM [DATABASE] " &amp; _</t>
        </is>
      </c>
    </row>
    <row r="174" ht="14" customHeight="1" s="85">
      <c r="A174" s="169" t="n">
        <v>161</v>
      </c>
      <c r="B174" s="170" t="inlineStr">
        <is>
          <t xml:space="preserve">            "WHERE [ETAT] LIKE '*suspens*' " &amp; _</t>
        </is>
      </c>
    </row>
    <row r="175" ht="14" customHeight="1" s="85">
      <c r="A175" s="169" t="n">
        <v>162</v>
      </c>
      <c r="B175" s="170" t="inlineStr">
        <is>
          <t xml:space="preserve">            "OR [ENVOIE 1 MARCHE] IS NOT NULL " &amp; _</t>
        </is>
      </c>
    </row>
    <row r="176" ht="14" customHeight="1" s="85">
      <c r="A176" s="169" t="n">
        <v>163</v>
      </c>
      <c r="B176" s="170" t="inlineStr">
        <is>
          <t xml:space="preserve">            "OR [ENVOIE 2 MARCHE] IS NOT NULL " &amp; _</t>
        </is>
      </c>
    </row>
    <row r="177" ht="14" customHeight="1" s="85">
      <c r="A177" s="169" t="n">
        <v>164</v>
      </c>
      <c r="B177" s="170" t="inlineStr">
        <is>
          <t xml:space="preserve">            "ORDER BY [IDSG]", conn, 1, 3</t>
        </is>
      </c>
    </row>
    <row r="178" ht="14" customHeight="1" s="85">
      <c r="A178" s="169" t="n">
        <v>165</v>
      </c>
      <c r="B178" s="170" t="inlineStr"/>
    </row>
    <row r="179" ht="14" customHeight="1" s="85">
      <c r="A179" s="169" t="n">
        <v>166</v>
      </c>
      <c r="B179" s="170" t="inlineStr">
        <is>
          <t xml:space="preserve">    ' -- Ecriture dans Donnees Access --</t>
        </is>
      </c>
    </row>
    <row r="180" ht="14" customHeight="1" s="85">
      <c r="A180" s="169" t="n">
        <v>167</v>
      </c>
      <c r="B180" s="170" t="inlineStr">
        <is>
          <t xml:space="preserve">    Dim lastDat As Long</t>
        </is>
      </c>
    </row>
    <row r="181" ht="14" customHeight="1" s="85">
      <c r="A181" s="169" t="n">
        <v>168</v>
      </c>
      <c r="B181" s="170" t="inlineStr">
        <is>
          <t xml:space="preserve">    lastDat = wsDat.Cells(wsDat.Rows.Count, 1).End(xlUp).Row</t>
        </is>
      </c>
    </row>
    <row r="182" ht="14" customHeight="1" s="85">
      <c r="A182" s="169" t="n">
        <v>169</v>
      </c>
      <c r="B182" s="170" t="inlineStr">
        <is>
          <t xml:space="preserve">    If lastDat &gt; 2 Then wsDat.Rows("3:" &amp; lastDat).ClearContents</t>
        </is>
      </c>
    </row>
    <row r="183" ht="14" customHeight="1" s="85">
      <c r="A183" s="169" t="n">
        <v>170</v>
      </c>
      <c r="B183" s="170" t="inlineStr"/>
    </row>
    <row r="184" ht="14" customHeight="1" s="85">
      <c r="A184" s="169" t="n">
        <v>171</v>
      </c>
      <c r="B184" s="170" t="inlineStr">
        <is>
          <t xml:space="preserve">    If rs.EOF Then</t>
        </is>
      </c>
    </row>
    <row r="185" ht="14" customHeight="1" s="85">
      <c r="A185" s="169" t="n">
        <v>172</v>
      </c>
      <c r="B185" s="170" t="inlineStr">
        <is>
          <t xml:space="preserve">        MsgBox "Aucun dossier en suspens trouve.", vbInformation</t>
        </is>
      </c>
    </row>
    <row r="186" ht="14" customHeight="1" s="85">
      <c r="A186" s="169" t="n">
        <v>173</v>
      </c>
      <c r="B186" s="170" t="inlineStr">
        <is>
          <t xml:space="preserve">        wsCfg.Range("B4").Value = "Connecte - aucun suspens"</t>
        </is>
      </c>
    </row>
    <row r="187" ht="14" customHeight="1" s="85">
      <c r="A187" s="169" t="n">
        <v>174</v>
      </c>
      <c r="B187" s="170" t="inlineStr">
        <is>
          <t xml:space="preserve">        GoTo Cleanup</t>
        </is>
      </c>
    </row>
    <row r="188" ht="14" customHeight="1" s="85">
      <c r="A188" s="169" t="n">
        <v>175</v>
      </c>
      <c r="B188" s="170" t="inlineStr">
        <is>
          <t xml:space="preserve">    End If</t>
        </is>
      </c>
    </row>
    <row r="189" ht="14" customHeight="1" s="85">
      <c r="A189" s="169" t="n">
        <v>176</v>
      </c>
      <c r="B189" s="170" t="inlineStr"/>
    </row>
    <row r="190" ht="14" customHeight="1" s="85">
      <c r="A190" s="169" t="n">
        <v>177</v>
      </c>
      <c r="B190" s="170" t="inlineStr">
        <is>
          <t xml:space="preserve">    Dim totalImport As Long</t>
        </is>
      </c>
    </row>
    <row r="191" ht="14" customHeight="1" s="85">
      <c r="A191" s="169" t="n">
        <v>178</v>
      </c>
      <c r="B191" s="170" t="inlineStr">
        <is>
          <t xml:space="preserve">    totalImport = 0</t>
        </is>
      </c>
    </row>
    <row r="192" ht="14" customHeight="1" s="85">
      <c r="A192" s="169" t="n">
        <v>179</v>
      </c>
      <c r="B192" s="170" t="inlineStr">
        <is>
          <t xml:space="preserve">    Dim curRow As Long</t>
        </is>
      </c>
    </row>
    <row r="193" ht="14" customHeight="1" s="85">
      <c r="A193" s="169" t="n">
        <v>180</v>
      </c>
      <c r="B193" s="170" t="inlineStr">
        <is>
          <t xml:space="preserve">    curRow = 3</t>
        </is>
      </c>
    </row>
    <row r="194" ht="14" customHeight="1" s="85">
      <c r="A194" s="169" t="n">
        <v>181</v>
      </c>
      <c r="B194" s="170" t="inlineStr"/>
    </row>
    <row r="195" ht="14" customHeight="1" s="85">
      <c r="A195" s="169" t="n">
        <v>182</v>
      </c>
      <c r="B195" s="170" t="inlineStr">
        <is>
          <t xml:space="preserve">    Do While Not rs.EOF</t>
        </is>
      </c>
    </row>
    <row r="196" ht="14" customHeight="1" s="85">
      <c r="A196" s="169" t="n">
        <v>183</v>
      </c>
      <c r="B196" s="170" t="inlineStr">
        <is>
          <t xml:space="preserve">        Dim fIDSG     As String</t>
        </is>
      </c>
    </row>
    <row r="197" ht="14" customHeight="1" s="85">
      <c r="A197" s="169" t="n">
        <v>184</v>
      </c>
      <c r="B197" s="170" t="inlineStr">
        <is>
          <t xml:space="preserve">        Dim fRCT      As String</t>
        </is>
      </c>
    </row>
    <row r="198" ht="14" customHeight="1" s="85">
      <c r="A198" s="169" t="n">
        <v>185</v>
      </c>
      <c r="B198" s="170" t="inlineStr">
        <is>
          <t xml:space="preserve">        Dim fClient   As String</t>
        </is>
      </c>
    </row>
    <row r="199" ht="14" customHeight="1" s="85">
      <c r="A199" s="169" t="n">
        <v>186</v>
      </c>
      <c r="B199" s="170" t="inlineStr">
        <is>
          <t xml:space="preserve">        Dim fEtat     As String</t>
        </is>
      </c>
    </row>
    <row r="200" ht="14" customHeight="1" s="85">
      <c r="A200" s="169" t="n">
        <v>187</v>
      </c>
      <c r="B200" s="170" t="inlineStr">
        <is>
          <t xml:space="preserve">        Dim fAnalyste As String</t>
        </is>
      </c>
    </row>
    <row r="201" ht="14" customHeight="1" s="85">
      <c r="A201" s="169" t="n">
        <v>188</v>
      </c>
      <c r="B201" s="170" t="inlineStr">
        <is>
          <t xml:space="preserve">        Dim fDemande  As String</t>
        </is>
      </c>
    </row>
    <row r="202" ht="14" customHeight="1" s="85">
      <c r="A202" s="169" t="n">
        <v>189</v>
      </c>
      <c r="B202" s="170" t="inlineStr">
        <is>
          <t xml:space="preserve">        Dim fDateRec  As Variant</t>
        </is>
      </c>
    </row>
    <row r="203" ht="14" customHeight="1" s="85">
      <c r="A203" s="169" t="n">
        <v>190</v>
      </c>
      <c r="B203" s="170" t="inlineStr">
        <is>
          <t xml:space="preserve">        Dim fEnvoie1  As Variant</t>
        </is>
      </c>
    </row>
    <row r="204" ht="14" customHeight="1" s="85">
      <c r="A204" s="169" t="n">
        <v>191</v>
      </c>
      <c r="B204" s="170" t="inlineStr">
        <is>
          <t xml:space="preserve">        Dim fRetour1  As Variant</t>
        </is>
      </c>
    </row>
    <row r="205" ht="14" customHeight="1" s="85">
      <c r="A205" s="169" t="n">
        <v>192</v>
      </c>
      <c r="B205" s="170" t="inlineStr">
        <is>
          <t xml:space="preserve">        Dim fEnvoie2  As Variant</t>
        </is>
      </c>
    </row>
    <row r="206" ht="14" customHeight="1" s="85">
      <c r="A206" s="169" t="n">
        <v>193</v>
      </c>
      <c r="B206" s="170" t="inlineStr">
        <is>
          <t xml:space="preserve">        Dim fRetour2  As Variant</t>
        </is>
      </c>
    </row>
    <row r="207" ht="14" customHeight="1" s="85">
      <c r="A207" s="169" t="n">
        <v>194</v>
      </c>
      <c r="B207" s="170" t="inlineStr">
        <is>
          <t xml:space="preserve">        Dim fAutresJ  As Variant</t>
        </is>
      </c>
    </row>
    <row r="208" ht="14" customHeight="1" s="85">
      <c r="A208" s="169" t="n">
        <v>195</v>
      </c>
      <c r="B208" s="170" t="inlineStr"/>
    </row>
    <row r="209" ht="14" customHeight="1" s="85">
      <c r="A209" s="169" t="n">
        <v>196</v>
      </c>
      <c r="B209" s="170" t="inlineStr">
        <is>
          <t xml:space="preserve">        fIDSG     = NzStr(LireChamp(rs, "IDSG"),      "")</t>
        </is>
      </c>
    </row>
    <row r="210" ht="14" customHeight="1" s="85">
      <c r="A210" s="169" t="n">
        <v>197</v>
      </c>
      <c r="B210" s="170" t="inlineStr">
        <is>
          <t xml:space="preserve">        fRCT      = NzStr(LireChamp(rs, "RCT"),       "")</t>
        </is>
      </c>
    </row>
    <row r="211" ht="14" customHeight="1" s="85">
      <c r="A211" s="169" t="n">
        <v>198</v>
      </c>
      <c r="B211" s="170" t="inlineStr">
        <is>
          <t xml:space="preserve">        fClient   = NzStr(LireChamp(rs, "CLIENT"),    "")</t>
        </is>
      </c>
    </row>
    <row r="212" ht="14" customHeight="1" s="85">
      <c r="A212" s="169" t="n">
        <v>199</v>
      </c>
      <c r="B212" s="170" t="inlineStr">
        <is>
          <t xml:space="preserve">        fEtat     = NzStr(LireChamp(rs, "ETAT"),      "")</t>
        </is>
      </c>
    </row>
    <row r="213" ht="14" customHeight="1" s="85">
      <c r="A213" s="169" t="n">
        <v>200</v>
      </c>
      <c r="B213" s="170" t="inlineStr">
        <is>
          <t xml:space="preserve">        fAnalyste = NzStr(LireChamp(rs, "ANALYSTE"),  "")</t>
        </is>
      </c>
    </row>
    <row r="214" ht="14" customHeight="1" s="85">
      <c r="A214" s="169" t="n">
        <v>201</v>
      </c>
      <c r="B214" s="170" t="inlineStr">
        <is>
          <t xml:space="preserve">        fDemande  = NzStr(LireChamp(rs, "DEMANDE"),   "")</t>
        </is>
      </c>
    </row>
    <row r="215" ht="14" customHeight="1" s="85">
      <c r="A215" s="169" t="n">
        <v>202</v>
      </c>
      <c r="B215" s="170" t="inlineStr">
        <is>
          <t xml:space="preserve">        fDateRec  = LireChamp(rs, "RECEPTION")</t>
        </is>
      </c>
    </row>
    <row r="216" ht="14" customHeight="1" s="85">
      <c r="A216" s="169" t="n">
        <v>203</v>
      </c>
      <c r="B216" s="170" t="inlineStr">
        <is>
          <t xml:space="preserve">        fEnvoie1  = LireChamp(rs, "ENVOIE 1 MARCHE")</t>
        </is>
      </c>
    </row>
    <row r="217" ht="14" customHeight="1" s="85">
      <c r="A217" s="169" t="n">
        <v>204</v>
      </c>
      <c r="B217" s="170" t="inlineStr">
        <is>
          <t xml:space="preserve">        fRetour1  = LireChamp(rs, "RETOUR 1 MARCHE")</t>
        </is>
      </c>
    </row>
    <row r="218" ht="14" customHeight="1" s="85">
      <c r="A218" s="169" t="n">
        <v>205</v>
      </c>
      <c r="B218" s="170" t="inlineStr">
        <is>
          <t xml:space="preserve">        fEnvoie2  = LireChamp(rs, "ENVOIE 2 MARCHE")</t>
        </is>
      </c>
    </row>
    <row r="219" ht="14" customHeight="1" s="85">
      <c r="A219" s="169" t="n">
        <v>206</v>
      </c>
      <c r="B219" s="170" t="inlineStr">
        <is>
          <t xml:space="preserve">        fRetour2  = LireChamp(rs, "RETOUR 2 MARCHE")</t>
        </is>
      </c>
    </row>
    <row r="220" ht="14" customHeight="1" s="85">
      <c r="A220" s="169" t="n">
        <v>207</v>
      </c>
      <c r="B220" s="170" t="inlineStr">
        <is>
          <t xml:space="preserve">        fAutresJ  = LireChamp(rs, "AUTRES J MARCHE")</t>
        </is>
      </c>
    </row>
    <row r="221" ht="14" customHeight="1" s="85">
      <c r="A221" s="169" t="n">
        <v>208</v>
      </c>
      <c r="B221" s="170" t="inlineStr"/>
    </row>
    <row r="222" ht="14" customHeight="1" s="85">
      <c r="A222" s="169" t="n">
        <v>209</v>
      </c>
      <c r="B222" s="170" t="inlineStr">
        <is>
          <t xml:space="preserve">        wsDat.Cells(curRow, 1).Value = fIDSG</t>
        </is>
      </c>
    </row>
    <row r="223" ht="14" customHeight="1" s="85">
      <c r="A223" s="169" t="n">
        <v>210</v>
      </c>
      <c r="B223" s="170" t="inlineStr">
        <is>
          <t xml:space="preserve">        wsDat.Cells(curRow, 2).Value = fRCT</t>
        </is>
      </c>
    </row>
    <row r="224" ht="14" customHeight="1" s="85">
      <c r="A224" s="169" t="n">
        <v>211</v>
      </c>
      <c r="B224" s="170" t="inlineStr">
        <is>
          <t xml:space="preserve">        wsDat.Cells(curRow, 3).Value = fClient</t>
        </is>
      </c>
    </row>
    <row r="225" ht="14" customHeight="1" s="85">
      <c r="A225" s="169" t="n">
        <v>212</v>
      </c>
      <c r="B225" s="170" t="inlineStr">
        <is>
          <t xml:space="preserve">        wsDat.Cells(curRow, 4).Value = fEtat</t>
        </is>
      </c>
    </row>
    <row r="226" ht="14" customHeight="1" s="85">
      <c r="A226" s="169" t="n">
        <v>213</v>
      </c>
      <c r="B226" s="170" t="inlineStr">
        <is>
          <t xml:space="preserve">        wsDat.Cells(curRow, 5).Value = fAnalyste</t>
        </is>
      </c>
    </row>
    <row r="227" ht="14" customHeight="1" s="85">
      <c r="A227" s="169" t="n">
        <v>214</v>
      </c>
      <c r="B227" s="170" t="inlineStr">
        <is>
          <t xml:space="preserve">        wsDat.Cells(curRow, 6).Value = fDemande</t>
        </is>
      </c>
    </row>
    <row r="228" ht="14" customHeight="1" s="85">
      <c r="A228" s="169" t="n">
        <v>215</v>
      </c>
      <c r="B228" s="170" t="inlineStr">
        <is>
          <t xml:space="preserve">        If IsDate(fDateRec) Then</t>
        </is>
      </c>
    </row>
    <row r="229" ht="14" customHeight="1" s="85">
      <c r="A229" s="169" t="n">
        <v>216</v>
      </c>
      <c r="B229" s="170" t="inlineStr">
        <is>
          <t xml:space="preserve">            wsDat.Cells(curRow, 7).Value = CDate(fDateRec)</t>
        </is>
      </c>
    </row>
    <row r="230" ht="14" customHeight="1" s="85">
      <c r="A230" s="169" t="n">
        <v>217</v>
      </c>
      <c r="B230" s="170" t="inlineStr">
        <is>
          <t xml:space="preserve">            wsDat.Cells(curRow, 7).NumberFormat = "DD/MM/YYYY"</t>
        </is>
      </c>
    </row>
    <row r="231" ht="14" customHeight="1" s="85">
      <c r="A231" s="169" t="n">
        <v>218</v>
      </c>
      <c r="B231" s="170" t="inlineStr">
        <is>
          <t xml:space="preserve">        End If</t>
        </is>
      </c>
    </row>
    <row r="232" ht="14" customHeight="1" s="85">
      <c r="A232" s="169" t="n">
        <v>219</v>
      </c>
      <c r="B232" s="170" t="inlineStr">
        <is>
          <t xml:space="preserve">        If IsDate(fEnvoie1) Then</t>
        </is>
      </c>
    </row>
    <row r="233" ht="14" customHeight="1" s="85">
      <c r="A233" s="169" t="n">
        <v>220</v>
      </c>
      <c r="B233" s="170" t="inlineStr">
        <is>
          <t xml:space="preserve">            wsDat.Cells(curRow, 8).Value = CDate(fEnvoie1)</t>
        </is>
      </c>
    </row>
    <row r="234" ht="14" customHeight="1" s="85">
      <c r="A234" s="169" t="n">
        <v>221</v>
      </c>
      <c r="B234" s="170" t="inlineStr">
        <is>
          <t xml:space="preserve">            wsDat.Cells(curRow, 8).NumberFormat = "DD/MM/YYYY"</t>
        </is>
      </c>
    </row>
    <row r="235" ht="14" customHeight="1" s="85">
      <c r="A235" s="169" t="n">
        <v>222</v>
      </c>
      <c r="B235" s="170" t="inlineStr">
        <is>
          <t xml:space="preserve">        End If</t>
        </is>
      </c>
    </row>
    <row r="236" ht="14" customHeight="1" s="85">
      <c r="A236" s="169" t="n">
        <v>223</v>
      </c>
      <c r="B236" s="170" t="inlineStr">
        <is>
          <t xml:space="preserve">        If IsDate(fRetour1) Then</t>
        </is>
      </c>
    </row>
    <row r="237" ht="14" customHeight="1" s="85">
      <c r="A237" s="169" t="n">
        <v>224</v>
      </c>
      <c r="B237" s="170" t="inlineStr">
        <is>
          <t xml:space="preserve">            wsDat.Cells(curRow, 9).Value = CDate(fRetour1)</t>
        </is>
      </c>
    </row>
    <row r="238" ht="14" customHeight="1" s="85">
      <c r="A238" s="169" t="n">
        <v>225</v>
      </c>
      <c r="B238" s="170" t="inlineStr">
        <is>
          <t xml:space="preserve">            wsDat.Cells(curRow, 9).NumberFormat = "DD/MM/YYYY"</t>
        </is>
      </c>
    </row>
    <row r="239" ht="14" customHeight="1" s="85">
      <c r="A239" s="169" t="n">
        <v>226</v>
      </c>
      <c r="B239" s="170" t="inlineStr">
        <is>
          <t xml:space="preserve">        End If</t>
        </is>
      </c>
    </row>
    <row r="240" ht="14" customHeight="1" s="85">
      <c r="A240" s="169" t="n">
        <v>227</v>
      </c>
      <c r="B240" s="170" t="inlineStr">
        <is>
          <t xml:space="preserve">        If IsDate(fEnvoie2) Then</t>
        </is>
      </c>
    </row>
    <row r="241" ht="14" customHeight="1" s="85">
      <c r="A241" s="169" t="n">
        <v>228</v>
      </c>
      <c r="B241" s="170" t="inlineStr">
        <is>
          <t xml:space="preserve">            wsDat.Cells(curRow, 10).Value = CDate(fEnvoie2)</t>
        </is>
      </c>
    </row>
    <row r="242" ht="14" customHeight="1" s="85">
      <c r="A242" s="169" t="n">
        <v>229</v>
      </c>
      <c r="B242" s="170" t="inlineStr">
        <is>
          <t xml:space="preserve">            wsDat.Cells(curRow, 10).NumberFormat = "DD/MM/YYYY"</t>
        </is>
      </c>
    </row>
    <row r="243" ht="14" customHeight="1" s="85">
      <c r="A243" s="169" t="n">
        <v>230</v>
      </c>
      <c r="B243" s="170" t="inlineStr">
        <is>
          <t xml:space="preserve">        End If</t>
        </is>
      </c>
    </row>
    <row r="244" ht="14" customHeight="1" s="85">
      <c r="A244" s="169" t="n">
        <v>231</v>
      </c>
      <c r="B244" s="170" t="inlineStr">
        <is>
          <t xml:space="preserve">        If IsDate(fRetour2) Then</t>
        </is>
      </c>
    </row>
    <row r="245" ht="14" customHeight="1" s="85">
      <c r="A245" s="169" t="n">
        <v>232</v>
      </c>
      <c r="B245" s="170" t="inlineStr">
        <is>
          <t xml:space="preserve">            wsDat.Cells(curRow, 11).Value = CDate(fRetour2)</t>
        </is>
      </c>
    </row>
    <row r="246" ht="14" customHeight="1" s="85">
      <c r="A246" s="169" t="n">
        <v>233</v>
      </c>
      <c r="B246" s="170" t="inlineStr">
        <is>
          <t xml:space="preserve">            wsDat.Cells(curRow, 11).NumberFormat = "DD/MM/YYYY"</t>
        </is>
      </c>
    </row>
    <row r="247" ht="14" customHeight="1" s="85">
      <c r="A247" s="169" t="n">
        <v>234</v>
      </c>
      <c r="B247" s="170" t="inlineStr">
        <is>
          <t xml:space="preserve">        End If</t>
        </is>
      </c>
    </row>
    <row r="248" ht="14" customHeight="1" s="85">
      <c r="A248" s="169" t="n">
        <v>235</v>
      </c>
      <c r="B248" s="170" t="inlineStr">
        <is>
          <t xml:space="preserve">        If Not IsNull(fAutresJ) Then wsDat.Cells(curRow, 12).Value = fAutresJ</t>
        </is>
      </c>
    </row>
    <row r="249" ht="14" customHeight="1" s="85">
      <c r="A249" s="169" t="n">
        <v>236</v>
      </c>
      <c r="B249" s="170" t="inlineStr"/>
    </row>
    <row r="250" ht="14" customHeight="1" s="85">
      <c r="A250" s="169" t="n">
        <v>237</v>
      </c>
      <c r="B250" s="170" t="inlineStr">
        <is>
          <t xml:space="preserve">        If curRow Mod 2 = 0 Then</t>
        </is>
      </c>
    </row>
    <row r="251" ht="14" customHeight="1" s="85">
      <c r="A251" s="169" t="n">
        <v>238</v>
      </c>
      <c r="B251" s="170" t="inlineStr">
        <is>
          <t xml:space="preserve">            wsDat.Rows(curRow).Interior.Color = RGB(245, 247, 250)</t>
        </is>
      </c>
    </row>
    <row r="252" ht="14" customHeight="1" s="85">
      <c r="A252" s="169" t="n">
        <v>239</v>
      </c>
      <c r="B252" s="170" t="inlineStr">
        <is>
          <t xml:space="preserve">        Else</t>
        </is>
      </c>
    </row>
    <row r="253" ht="14" customHeight="1" s="85">
      <c r="A253" s="169" t="n">
        <v>240</v>
      </c>
      <c r="B253" s="170" t="inlineStr">
        <is>
          <t xml:space="preserve">            wsDat.Rows(curRow).Interior.Color = RGB(255, 255, 255)</t>
        </is>
      </c>
    </row>
    <row r="254" ht="14" customHeight="1" s="85">
      <c r="A254" s="169" t="n">
        <v>241</v>
      </c>
      <c r="B254" s="170" t="inlineStr">
        <is>
          <t xml:space="preserve">        End If</t>
        </is>
      </c>
    </row>
    <row r="255" ht="14" customHeight="1" s="85">
      <c r="A255" s="169" t="n">
        <v>242</v>
      </c>
      <c r="B255" s="170" t="inlineStr">
        <is>
          <t xml:space="preserve">        wsDat.Rows(curRow).RowHeight = 20</t>
        </is>
      </c>
    </row>
    <row r="256" ht="14" customHeight="1" s="85">
      <c r="A256" s="169" t="n">
        <v>243</v>
      </c>
      <c r="B256" s="170" t="inlineStr">
        <is>
          <t xml:space="preserve">        curRow = curRow + 1</t>
        </is>
      </c>
    </row>
    <row r="257" ht="14" customHeight="1" s="85">
      <c r="A257" s="169" t="n">
        <v>244</v>
      </c>
      <c r="B257" s="170" t="inlineStr">
        <is>
          <t xml:space="preserve">        totalImport = totalImport + 1</t>
        </is>
      </c>
    </row>
    <row r="258" ht="14" customHeight="1" s="85">
      <c r="A258" s="169" t="n">
        <v>245</v>
      </c>
      <c r="B258" s="170" t="inlineStr">
        <is>
          <t xml:space="preserve">        rs.MoveNext</t>
        </is>
      </c>
    </row>
    <row r="259" ht="14" customHeight="1" s="85">
      <c r="A259" s="169" t="n">
        <v>246</v>
      </c>
      <c r="B259" s="170" t="inlineStr">
        <is>
          <t xml:space="preserve">    Loop</t>
        </is>
      </c>
    </row>
    <row r="260" ht="14" customHeight="1" s="85">
      <c r="A260" s="169" t="n">
        <v>247</v>
      </c>
      <c r="B260" s="170" t="inlineStr">
        <is>
          <t xml:space="preserve">    rs.Close</t>
        </is>
      </c>
    </row>
    <row r="261" ht="14" customHeight="1" s="85">
      <c r="A261" s="169" t="n">
        <v>248</v>
      </c>
      <c r="B261" s="170" t="inlineStr"/>
    </row>
    <row r="262" ht="14" customHeight="1" s="85">
      <c r="A262" s="169" t="n">
        <v>249</v>
      </c>
      <c r="B262" s="170" t="inlineStr">
        <is>
          <t xml:space="preserve">    ' -- Synchronisation Suspens --</t>
        </is>
      </c>
    </row>
    <row r="263" ht="14" customHeight="1" s="85">
      <c r="A263" s="169" t="n">
        <v>250</v>
      </c>
      <c r="B263" s="170" t="inlineStr">
        <is>
          <t xml:space="preserve">    ' Les donnees commencent a la ligne 3 (ligne 1 = titre fusionne, ligne 2 = entetes)</t>
        </is>
      </c>
    </row>
    <row r="264" ht="14" customHeight="1" s="85">
      <c r="A264" s="169" t="n">
        <v>251</v>
      </c>
      <c r="B264" s="170" t="inlineStr">
        <is>
          <t xml:space="preserve">    Dim dictStatut  As Object</t>
        </is>
      </c>
    </row>
    <row r="265" ht="14" customHeight="1" s="85">
      <c r="A265" s="169" t="n">
        <v>252</v>
      </c>
      <c r="B265" s="170" t="inlineStr">
        <is>
          <t xml:space="preserve">    Dim dictRaison1 As Object</t>
        </is>
      </c>
    </row>
    <row r="266" ht="14" customHeight="1" s="85">
      <c r="A266" s="169" t="n">
        <v>253</v>
      </c>
      <c r="B266" s="170" t="inlineStr">
        <is>
          <t xml:space="preserve">    Dim dictRaison2 As Object</t>
        </is>
      </c>
    </row>
    <row r="267" ht="14" customHeight="1" s="85">
      <c r="A267" s="169" t="n">
        <v>254</v>
      </c>
      <c r="B267" s="170" t="inlineStr">
        <is>
          <t xml:space="preserve">    Dim dictRaison3 As Object</t>
        </is>
      </c>
    </row>
    <row r="268" ht="14" customHeight="1" s="85">
      <c r="A268" s="169" t="n">
        <v>255</v>
      </c>
      <c r="B268" s="170" t="inlineStr">
        <is>
          <t xml:space="preserve">    Dim dictComment As Object</t>
        </is>
      </c>
    </row>
    <row r="269" ht="14" customHeight="1" s="85">
      <c r="A269" s="169" t="n">
        <v>256</v>
      </c>
      <c r="B269" s="170" t="inlineStr">
        <is>
          <t xml:space="preserve">    Set dictStatut  = CreateObject("Scripting.Dictionary")</t>
        </is>
      </c>
    </row>
    <row r="270" ht="14" customHeight="1" s="85">
      <c r="A270" s="169" t="n">
        <v>257</v>
      </c>
      <c r="B270" s="170" t="inlineStr">
        <is>
          <t xml:space="preserve">    Set dictRaison1 = CreateObject("Scripting.Dictionary")</t>
        </is>
      </c>
    </row>
    <row r="271" ht="14" customHeight="1" s="85">
      <c r="A271" s="169" t="n">
        <v>258</v>
      </c>
      <c r="B271" s="170" t="inlineStr">
        <is>
          <t xml:space="preserve">    Set dictRaison2 = CreateObject("Scripting.Dictionary")</t>
        </is>
      </c>
    </row>
    <row r="272" ht="14" customHeight="1" s="85">
      <c r="A272" s="169" t="n">
        <v>259</v>
      </c>
      <c r="B272" s="170" t="inlineStr">
        <is>
          <t xml:space="preserve">    Set dictRaison3 = CreateObject("Scripting.Dictionary")</t>
        </is>
      </c>
    </row>
    <row r="273" ht="14" customHeight="1" s="85">
      <c r="A273" s="169" t="n">
        <v>260</v>
      </c>
      <c r="B273" s="170" t="inlineStr">
        <is>
          <t xml:space="preserve">    Set dictComment = CreateObject("Scripting.Dictionary")</t>
        </is>
      </c>
    </row>
    <row r="274" ht="14" customHeight="1" s="85">
      <c r="A274" s="169" t="n">
        <v>261</v>
      </c>
      <c r="B274" s="170" t="inlineStr"/>
    </row>
    <row r="275" ht="14" customHeight="1" s="85">
      <c r="A275" s="169" t="n">
        <v>262</v>
      </c>
      <c r="B275" s="170" t="inlineStr">
        <is>
          <t xml:space="preserve">    ' Sauvegarder enrichissements existants (a partir de la ligne 3 uniquement)</t>
        </is>
      </c>
    </row>
    <row r="276" ht="14" customHeight="1" s="85">
      <c r="A276" s="169" t="n">
        <v>263</v>
      </c>
      <c r="B276" s="170" t="inlineStr">
        <is>
          <t xml:space="preserve">    Dim susLastRow As Long</t>
        </is>
      </c>
    </row>
    <row r="277" ht="14" customHeight="1" s="85">
      <c r="A277" s="169" t="n">
        <v>264</v>
      </c>
      <c r="B277" s="170" t="inlineStr">
        <is>
          <t xml:space="preserve">    susLastRow = wsSus.Cells(wsSus.Rows.Count, 2).End(xlUp).Row</t>
        </is>
      </c>
    </row>
    <row r="278" ht="14" customHeight="1" s="85">
      <c r="A278" s="169" t="n">
        <v>265</v>
      </c>
      <c r="B278" s="170" t="inlineStr">
        <is>
          <t xml:space="preserve">    If susLastRow &lt; 3 Then susLastRow = 3</t>
        </is>
      </c>
    </row>
    <row r="279" ht="14" customHeight="1" s="85">
      <c r="A279" s="169" t="n">
        <v>266</v>
      </c>
      <c r="B279" s="170" t="inlineStr"/>
    </row>
    <row r="280" ht="14" customHeight="1" s="85">
      <c r="A280" s="169" t="n">
        <v>267</v>
      </c>
      <c r="B280" s="170" t="inlineStr">
        <is>
          <t xml:space="preserve">    Dim r As Long</t>
        </is>
      </c>
    </row>
    <row r="281" ht="14" customHeight="1" s="85">
      <c r="A281" s="169" t="n">
        <v>268</v>
      </c>
      <c r="B281" s="170" t="inlineStr">
        <is>
          <t xml:space="preserve">    For r = 3 To susLastRow</t>
        </is>
      </c>
    </row>
    <row r="282" ht="14" customHeight="1" s="85">
      <c r="A282" s="169" t="n">
        <v>269</v>
      </c>
      <c r="B282" s="170" t="inlineStr">
        <is>
          <t xml:space="preserve">        ' Ignorer les cellules fusionnees (ligne 1 = titre)</t>
        </is>
      </c>
    </row>
    <row r="283" ht="14" customHeight="1" s="85">
      <c r="A283" s="169" t="n">
        <v>270</v>
      </c>
      <c r="B283" s="170" t="inlineStr">
        <is>
          <t xml:space="preserve">        If Not wsSus.Cells(r, 2).MergeCells Then</t>
        </is>
      </c>
    </row>
    <row r="284" ht="14" customHeight="1" s="85">
      <c r="A284" s="169" t="n">
        <v>271</v>
      </c>
      <c r="B284" s="170" t="inlineStr">
        <is>
          <t xml:space="preserve">            Dim idsgKey As String</t>
        </is>
      </c>
    </row>
    <row r="285" ht="14" customHeight="1" s="85">
      <c r="A285" s="169" t="n">
        <v>272</v>
      </c>
      <c r="B285" s="170" t="inlineStr">
        <is>
          <t xml:space="preserve">            idsgKey = Trim(CStr(wsSus.Cells(r, 2).Value))</t>
        </is>
      </c>
    </row>
    <row r="286" ht="14" customHeight="1" s="85">
      <c r="A286" s="169" t="n">
        <v>273</v>
      </c>
      <c r="B286" s="170" t="inlineStr">
        <is>
          <t xml:space="preserve">            If idsgKey &lt;&gt; "" Then</t>
        </is>
      </c>
    </row>
    <row r="287" ht="14" customHeight="1" s="85">
      <c r="A287" s="169" t="n">
        <v>274</v>
      </c>
      <c r="B287" s="170" t="inlineStr">
        <is>
          <t xml:space="preserve">                dictStatut(idsgKey)  = wsSus.Cells(r, 8).Value</t>
        </is>
      </c>
    </row>
    <row r="288" ht="14" customHeight="1" s="85">
      <c r="A288" s="169" t="n">
        <v>275</v>
      </c>
      <c r="B288" s="170" t="inlineStr">
        <is>
          <t xml:space="preserve">                dictRaison1(idsgKey) = wsSus.Cells(r, 10).Value</t>
        </is>
      </c>
    </row>
    <row r="289" ht="14" customHeight="1" s="85">
      <c r="A289" s="169" t="n">
        <v>276</v>
      </c>
      <c r="B289" s="170" t="inlineStr">
        <is>
          <t xml:space="preserve">                dictRaison2(idsgKey) = wsSus.Cells(r, 11).Value</t>
        </is>
      </c>
    </row>
    <row r="290" ht="14" customHeight="1" s="85">
      <c r="A290" s="169" t="n">
        <v>277</v>
      </c>
      <c r="B290" s="170" t="inlineStr">
        <is>
          <t xml:space="preserve">                dictRaison3(idsgKey) = wsSus.Cells(r, 12).Value</t>
        </is>
      </c>
    </row>
    <row r="291" ht="14" customHeight="1" s="85">
      <c r="A291" s="169" t="n">
        <v>278</v>
      </c>
      <c r="B291" s="170" t="inlineStr">
        <is>
          <t xml:space="preserve">                dictComment(idsgKey) = wsSus.Cells(r, 13).Value</t>
        </is>
      </c>
    </row>
    <row r="292" ht="14" customHeight="1" s="85">
      <c r="A292" s="169" t="n">
        <v>279</v>
      </c>
      <c r="B292" s="170" t="inlineStr">
        <is>
          <t xml:space="preserve">            End If</t>
        </is>
      </c>
    </row>
    <row r="293" ht="14" customHeight="1" s="85">
      <c r="A293" s="169" t="n">
        <v>280</v>
      </c>
      <c r="B293" s="170" t="inlineStr">
        <is>
          <t xml:space="preserve">        End If</t>
        </is>
      </c>
    </row>
    <row r="294" ht="14" customHeight="1" s="85">
      <c r="A294" s="169" t="n">
        <v>281</v>
      </c>
      <c r="B294" s="170" t="inlineStr">
        <is>
          <t xml:space="preserve">    Next r</t>
        </is>
      </c>
    </row>
    <row r="295" ht="14" customHeight="1" s="85">
      <c r="A295" s="169" t="n">
        <v>282</v>
      </c>
      <c r="B295" s="170" t="inlineStr"/>
    </row>
    <row r="296" ht="14" customHeight="1" s="85">
      <c r="A296" s="169" t="n">
        <v>283</v>
      </c>
      <c r="B296" s="170" t="inlineStr">
        <is>
          <t xml:space="preserve">    ' Effacer les donnees (ligne 3 minimum, cellule par cellule, jamais les fusionnees)</t>
        </is>
      </c>
    </row>
    <row r="297" ht="14" customHeight="1" s="85">
      <c r="A297" s="169" t="n">
        <v>284</v>
      </c>
      <c r="B297" s="170" t="inlineStr">
        <is>
          <t xml:space="preserve">    Dim clearTo As Long</t>
        </is>
      </c>
    </row>
    <row r="298" ht="14" customHeight="1" s="85">
      <c r="A298" s="169" t="n">
        <v>285</v>
      </c>
      <c r="B298" s="170" t="inlineStr">
        <is>
          <t xml:space="preserve">    clearTo = Application.Max(susLastRow, totalImport + 2)</t>
        </is>
      </c>
    </row>
    <row r="299" ht="14" customHeight="1" s="85">
      <c r="A299" s="169" t="n">
        <v>286</v>
      </c>
      <c r="B299" s="170" t="inlineStr">
        <is>
          <t xml:space="preserve">    If clearTo &lt; 3 Then clearTo = 3</t>
        </is>
      </c>
    </row>
    <row r="300" ht="14" customHeight="1" s="85">
      <c r="A300" s="169" t="n">
        <v>287</v>
      </c>
      <c r="B300" s="170" t="inlineStr"/>
    </row>
    <row r="301" ht="14" customHeight="1" s="85">
      <c r="A301" s="169" t="n">
        <v>288</v>
      </c>
      <c r="B301" s="170" t="inlineStr">
        <is>
          <t xml:space="preserve">    For r = 3 To clearTo</t>
        </is>
      </c>
    </row>
    <row r="302" ht="14" customHeight="1" s="85">
      <c r="A302" s="169" t="n">
        <v>289</v>
      </c>
      <c r="B302" s="170" t="inlineStr">
        <is>
          <t xml:space="preserve">        EcrireCell wsSus, r, 2,  ""</t>
        </is>
      </c>
    </row>
    <row r="303" ht="14" customHeight="1" s="85">
      <c r="A303" s="169" t="n">
        <v>290</v>
      </c>
      <c r="B303" s="170" t="inlineStr">
        <is>
          <t xml:space="preserve">        EcrireCell wsSus, r, 3,  ""</t>
        </is>
      </c>
    </row>
    <row r="304" ht="14" customHeight="1" s="85">
      <c r="A304" s="169" t="n">
        <v>291</v>
      </c>
      <c r="B304" s="170" t="inlineStr">
        <is>
          <t xml:space="preserve">        EcrireCell wsSus, r, 4,  ""</t>
        </is>
      </c>
    </row>
    <row r="305" ht="14" customHeight="1" s="85">
      <c r="A305" s="169" t="n">
        <v>292</v>
      </c>
      <c r="B305" s="170" t="inlineStr">
        <is>
          <t xml:space="preserve">        EcrireCell wsSus, r, 5,  ""</t>
        </is>
      </c>
    </row>
    <row r="306" ht="14" customHeight="1" s="85">
      <c r="A306" s="169" t="n">
        <v>293</v>
      </c>
      <c r="B306" s="170" t="inlineStr">
        <is>
          <t xml:space="preserve">        EcrireCell wsSus, r, 6,  ""</t>
        </is>
      </c>
    </row>
    <row r="307" ht="14" customHeight="1" s="85">
      <c r="A307" s="169" t="n">
        <v>294</v>
      </c>
      <c r="B307" s="170" t="inlineStr">
        <is>
          <t xml:space="preserve">        EcrireCell wsSus, r, 7,  ""</t>
        </is>
      </c>
    </row>
    <row r="308" ht="14" customHeight="1" s="85">
      <c r="A308" s="169" t="n">
        <v>295</v>
      </c>
      <c r="B308" s="170" t="inlineStr">
        <is>
          <t xml:space="preserve">        EcrireCell wsSus, r, 8,  ""</t>
        </is>
      </c>
    </row>
    <row r="309" ht="14" customHeight="1" s="85">
      <c r="A309" s="169" t="n">
        <v>296</v>
      </c>
      <c r="B309" s="170" t="inlineStr">
        <is>
          <t xml:space="preserve">        EcrireCell wsSus, r, 9,  ""</t>
        </is>
      </c>
    </row>
    <row r="310" ht="14" customHeight="1" s="85">
      <c r="A310" s="169" t="n">
        <v>297</v>
      </c>
      <c r="B310" s="170" t="inlineStr">
        <is>
          <t xml:space="preserve">        EcrireCell wsSus, r, 14, ""</t>
        </is>
      </c>
    </row>
    <row r="311" ht="14" customHeight="1" s="85">
      <c r="A311" s="169" t="n">
        <v>298</v>
      </c>
      <c r="B311" s="170" t="inlineStr">
        <is>
          <t xml:space="preserve">    Next r</t>
        </is>
      </c>
    </row>
    <row r="312" ht="14" customHeight="1" s="85">
      <c r="A312" s="169" t="n">
        <v>299</v>
      </c>
      <c r="B312" s="170" t="inlineStr"/>
    </row>
    <row r="313" ht="14" customHeight="1" s="85">
      <c r="A313" s="169" t="n">
        <v>300</v>
      </c>
      <c r="B313" s="170" t="inlineStr">
        <is>
          <t xml:space="preserve">    ' Reecrire depuis Access</t>
        </is>
      </c>
    </row>
    <row r="314" ht="14" customHeight="1" s="85">
      <c r="A314" s="169" t="n">
        <v>301</v>
      </c>
      <c r="B314" s="170" t="inlineStr">
        <is>
          <t xml:space="preserve">    For i = 1 To totalImport</t>
        </is>
      </c>
    </row>
    <row r="315" ht="14" customHeight="1" s="85">
      <c r="A315" s="169" t="n">
        <v>302</v>
      </c>
      <c r="B315" s="170" t="inlineStr">
        <is>
          <t xml:space="preserve">        Dim rSus As Long</t>
        </is>
      </c>
    </row>
    <row r="316" ht="14" customHeight="1" s="85">
      <c r="A316" s="169" t="n">
        <v>303</v>
      </c>
      <c r="B316" s="170" t="inlineStr">
        <is>
          <t xml:space="preserve">        rSus = i + 2</t>
        </is>
      </c>
    </row>
    <row r="317" ht="14" customHeight="1" s="85">
      <c r="A317" s="169" t="n">
        <v>304</v>
      </c>
      <c r="B317" s="170" t="inlineStr">
        <is>
          <t xml:space="preserve">        Dim sIDSG As String</t>
        </is>
      </c>
    </row>
    <row r="318" ht="14" customHeight="1" s="85">
      <c r="A318" s="169" t="n">
        <v>305</v>
      </c>
      <c r="B318" s="170" t="inlineStr">
        <is>
          <t xml:space="preserve">        sIDSG = Trim(CStr(wsDat.Cells(i + 2, 1).Value))</t>
        </is>
      </c>
    </row>
    <row r="319" ht="14" customHeight="1" s="85">
      <c r="A319" s="169" t="n">
        <v>306</v>
      </c>
      <c r="B319" s="170" t="inlineStr"/>
    </row>
    <row r="320" ht="14" customHeight="1" s="85">
      <c r="A320" s="169" t="n">
        <v>307</v>
      </c>
      <c r="B320" s="170" t="inlineStr">
        <is>
          <t xml:space="preserve">        EcrireCell wsSus, rSus, 2,  sIDSG</t>
        </is>
      </c>
    </row>
    <row r="321" ht="14" customHeight="1" s="85">
      <c r="A321" s="169" t="n">
        <v>308</v>
      </c>
      <c r="B321" s="170" t="inlineStr">
        <is>
          <t xml:space="preserve">        EcrireCell wsSus, rSus, 3,  wsDat.Cells(i + 2, 2).Value</t>
        </is>
      </c>
    </row>
    <row r="322" ht="14" customHeight="1" s="85">
      <c r="A322" s="169" t="n">
        <v>309</v>
      </c>
      <c r="B322" s="170" t="inlineStr">
        <is>
          <t xml:space="preserve">        EcrireCell wsSus, rSus, 4,  wsDat.Cells(i + 2, 3).Value</t>
        </is>
      </c>
    </row>
    <row r="323" ht="14" customHeight="1" s="85">
      <c r="A323" s="169" t="n">
        <v>310</v>
      </c>
      <c r="B323" s="170" t="inlineStr">
        <is>
          <t xml:space="preserve">        EcrireCell wsSus, rSus, 5,  wsDat.Cells(i + 2, 5).Value</t>
        </is>
      </c>
    </row>
    <row r="324" ht="14" customHeight="1" s="85">
      <c r="A324" s="169" t="n">
        <v>311</v>
      </c>
      <c r="B324" s="170" t="inlineStr">
        <is>
          <t xml:space="preserve">        EcrireCell wsSus, rSus, 6,  wsDat.Cells(i + 2, 4).Value</t>
        </is>
      </c>
    </row>
    <row r="325" ht="14" customHeight="1" s="85">
      <c r="A325" s="169" t="n">
        <v>312</v>
      </c>
      <c r="B325" s="170" t="inlineStr">
        <is>
          <t xml:space="preserve">        EcrireCell wsSus, rSus, 14, wsDat.Cells(i + 2, 6).Value</t>
        </is>
      </c>
    </row>
    <row r="326" ht="14" customHeight="1" s="85">
      <c r="A326" s="169" t="n">
        <v>313</v>
      </c>
      <c r="B326" s="170" t="inlineStr"/>
    </row>
    <row r="327" ht="14" customHeight="1" s="85">
      <c r="A327" s="169" t="n">
        <v>314</v>
      </c>
      <c r="B327" s="170" t="inlineStr">
        <is>
          <t xml:space="preserve">        Dim dRec As Variant</t>
        </is>
      </c>
    </row>
    <row r="328" ht="14" customHeight="1" s="85">
      <c r="A328" s="169" t="n">
        <v>315</v>
      </c>
      <c r="B328" s="170" t="inlineStr">
        <is>
          <t xml:space="preserve">        dRec = wsDat.Cells(i + 2, 7).Value</t>
        </is>
      </c>
    </row>
    <row r="329" ht="14" customHeight="1" s="85">
      <c r="A329" s="169" t="n">
        <v>316</v>
      </c>
      <c r="B329" s="170" t="inlineStr">
        <is>
          <t xml:space="preserve">        If IsDate(dRec) Then</t>
        </is>
      </c>
    </row>
    <row r="330" ht="14" customHeight="1" s="85">
      <c r="A330" s="169" t="n">
        <v>317</v>
      </c>
      <c r="B330" s="170" t="inlineStr">
        <is>
          <t xml:space="preserve">            EcrireCell wsSus, rSus, 7, CDate(dRec)</t>
        </is>
      </c>
    </row>
    <row r="331" ht="14" customHeight="1" s="85">
      <c r="A331" s="169" t="n">
        <v>318</v>
      </c>
      <c r="B331" s="170" t="inlineStr">
        <is>
          <t xml:space="preserve">            On Error Resume Next</t>
        </is>
      </c>
    </row>
    <row r="332" ht="14" customHeight="1" s="85">
      <c r="A332" s="169" t="n">
        <v>319</v>
      </c>
      <c r="B332" s="170" t="inlineStr">
        <is>
          <t xml:space="preserve">            wsSus.Cells(rSus, 7).NumberFormat = "DD/MM/YYYY"</t>
        </is>
      </c>
    </row>
    <row r="333" ht="14" customHeight="1" s="85">
      <c r="A333" s="169" t="n">
        <v>320</v>
      </c>
      <c r="B333" s="170" t="inlineStr">
        <is>
          <t xml:space="preserve">            On Error GoTo ErrHandler</t>
        </is>
      </c>
    </row>
    <row r="334" ht="14" customHeight="1" s="85">
      <c r="A334" s="169" t="n">
        <v>321</v>
      </c>
      <c r="B334" s="170" t="inlineStr">
        <is>
          <t xml:space="preserve">        End If</t>
        </is>
      </c>
    </row>
    <row r="335" ht="14" customHeight="1" s="85">
      <c r="A335" s="169" t="n">
        <v>322</v>
      </c>
      <c r="B335" s="170" t="inlineStr"/>
    </row>
    <row r="336" ht="14" customHeight="1" s="85">
      <c r="A336" s="169" t="n">
        <v>323</v>
      </c>
      <c r="B336" s="170" t="inlineStr">
        <is>
          <t xml:space="preserve">        Dim sEtat As String</t>
        </is>
      </c>
    </row>
    <row r="337" ht="14" customHeight="1" s="85">
      <c r="A337" s="169" t="n">
        <v>324</v>
      </c>
      <c r="B337" s="170" t="inlineStr">
        <is>
          <t xml:space="preserve">        sEtat = LCase(Trim(CStr(wsDat.Cells(i + 2, 4).Value)))</t>
        </is>
      </c>
    </row>
    <row r="338" ht="14" customHeight="1" s="85">
      <c r="A338" s="169" t="n">
        <v>325</v>
      </c>
      <c r="B338" s="170" t="inlineStr">
        <is>
          <t xml:space="preserve">        Dim bEnCours As Boolean</t>
        </is>
      </c>
    </row>
    <row r="339" ht="14" customHeight="1" s="85">
      <c r="A339" s="169" t="n">
        <v>326</v>
      </c>
      <c r="B339" s="170" t="inlineStr">
        <is>
          <t xml:space="preserve">        bEnCours = (InStr(sEtat, "suspens") &gt; 0)</t>
        </is>
      </c>
    </row>
    <row r="340" ht="14" customHeight="1" s="85">
      <c r="A340" s="169" t="n">
        <v>327</v>
      </c>
      <c r="B340" s="170" t="inlineStr"/>
    </row>
    <row r="341" ht="14" customHeight="1" s="85">
      <c r="A341" s="169" t="n">
        <v>328</v>
      </c>
      <c r="B341" s="170" t="inlineStr">
        <is>
          <t xml:space="preserve">        Dim duree As Long</t>
        </is>
      </c>
    </row>
    <row r="342" ht="14" customHeight="1" s="85">
      <c r="A342" s="169" t="n">
        <v>329</v>
      </c>
      <c r="B342" s="170" t="inlineStr">
        <is>
          <t xml:space="preserve">        duree = CalculerDureeSuspens( _</t>
        </is>
      </c>
    </row>
    <row r="343" ht="14" customHeight="1" s="85">
      <c r="A343" s="169" t="n">
        <v>330</v>
      </c>
      <c r="B343" s="170" t="inlineStr">
        <is>
          <t xml:space="preserve">            wsDat.Cells(i + 2, 8).Value,  _</t>
        </is>
      </c>
    </row>
    <row r="344" ht="14" customHeight="1" s="85">
      <c r="A344" s="169" t="n">
        <v>331</v>
      </c>
      <c r="B344" s="170" t="inlineStr">
        <is>
          <t xml:space="preserve">            wsDat.Cells(i + 2, 9).Value,  _</t>
        </is>
      </c>
    </row>
    <row r="345" ht="14" customHeight="1" s="85">
      <c r="A345" s="169" t="n">
        <v>332</v>
      </c>
      <c r="B345" s="170" t="inlineStr">
        <is>
          <t xml:space="preserve">            wsDat.Cells(i + 2, 10).Value, _</t>
        </is>
      </c>
    </row>
    <row r="346" ht="14" customHeight="1" s="85">
      <c r="A346" s="169" t="n">
        <v>333</v>
      </c>
      <c r="B346" s="170" t="inlineStr">
        <is>
          <t xml:space="preserve">            wsDat.Cells(i + 2, 11).Value, _</t>
        </is>
      </c>
    </row>
    <row r="347" ht="14" customHeight="1" s="85">
      <c r="A347" s="169" t="n">
        <v>334</v>
      </c>
      <c r="B347" s="170" t="inlineStr">
        <is>
          <t xml:space="preserve">            wsDat.Cells(i + 2, 12).Value, _</t>
        </is>
      </c>
    </row>
    <row r="348" ht="14" customHeight="1" s="85">
      <c r="A348" s="169" t="n">
        <v>335</v>
      </c>
      <c r="B348" s="170" t="inlineStr">
        <is>
          <t xml:space="preserve">            bEnCours)</t>
        </is>
      </c>
    </row>
    <row r="349" ht="14" customHeight="1" s="85">
      <c r="A349" s="169" t="n">
        <v>336</v>
      </c>
      <c r="B349" s="170" t="inlineStr">
        <is>
          <t xml:space="preserve">        If duree &gt; 0 Then</t>
        </is>
      </c>
    </row>
    <row r="350" ht="14" customHeight="1" s="85">
      <c r="A350" s="169" t="n">
        <v>337</v>
      </c>
      <c r="B350" s="170" t="inlineStr">
        <is>
          <t xml:space="preserve">            EcrireCell wsSus, rSus, 9, duree</t>
        </is>
      </c>
    </row>
    <row r="351" ht="14" customHeight="1" s="85">
      <c r="A351" s="169" t="n">
        <v>338</v>
      </c>
      <c r="B351" s="170" t="inlineStr">
        <is>
          <t xml:space="preserve">        Else</t>
        </is>
      </c>
    </row>
    <row r="352" ht="14" customHeight="1" s="85">
      <c r="A352" s="169" t="n">
        <v>339</v>
      </c>
      <c r="B352" s="170" t="inlineStr">
        <is>
          <t xml:space="preserve">            EcrireCell wsSus, rSus, 9, ""</t>
        </is>
      </c>
    </row>
    <row r="353" ht="14" customHeight="1" s="85">
      <c r="A353" s="169" t="n">
        <v>340</v>
      </c>
      <c r="B353" s="170" t="inlineStr">
        <is>
          <t xml:space="preserve">        End If</t>
        </is>
      </c>
    </row>
    <row r="354" ht="14" customHeight="1" s="85">
      <c r="A354" s="169" t="n">
        <v>341</v>
      </c>
      <c r="B354" s="170" t="inlineStr"/>
    </row>
    <row r="355" ht="14" customHeight="1" s="85">
      <c r="A355" s="169" t="n">
        <v>342</v>
      </c>
      <c r="B355" s="170" t="inlineStr">
        <is>
          <t xml:space="preserve">        If dictStatut.Exists(sIDSG) Then</t>
        </is>
      </c>
    </row>
    <row r="356" ht="14" customHeight="1" s="85">
      <c r="A356" s="169" t="n">
        <v>343</v>
      </c>
      <c r="B356" s="170" t="inlineStr">
        <is>
          <t xml:space="preserve">            EcrireCell wsSus, rSus, 8,  dictStatut(sIDSG)</t>
        </is>
      </c>
    </row>
    <row r="357" ht="14" customHeight="1" s="85">
      <c r="A357" s="169" t="n">
        <v>344</v>
      </c>
      <c r="B357" s="170" t="inlineStr">
        <is>
          <t xml:space="preserve">            EcrireCell wsSus, rSus, 10, dictRaison1(sIDSG)</t>
        </is>
      </c>
    </row>
    <row r="358" ht="14" customHeight="1" s="85">
      <c r="A358" s="169" t="n">
        <v>345</v>
      </c>
      <c r="B358" s="170" t="inlineStr">
        <is>
          <t xml:space="preserve">            EcrireCell wsSus, rSus, 11, dictRaison2(sIDSG)</t>
        </is>
      </c>
    </row>
    <row r="359" ht="14" customHeight="1" s="85">
      <c r="A359" s="169" t="n">
        <v>346</v>
      </c>
      <c r="B359" s="170" t="inlineStr">
        <is>
          <t xml:space="preserve">            EcrireCell wsSus, rSus, 12, dictRaison3(sIDSG)</t>
        </is>
      </c>
    </row>
    <row r="360" ht="14" customHeight="1" s="85">
      <c r="A360" s="169" t="n">
        <v>347</v>
      </c>
      <c r="B360" s="170" t="inlineStr">
        <is>
          <t xml:space="preserve">            EcrireCell wsSus, rSus, 13, dictComment(sIDSG)</t>
        </is>
      </c>
    </row>
    <row r="361" ht="14" customHeight="1" s="85">
      <c r="A361" s="169" t="n">
        <v>348</v>
      </c>
      <c r="B361" s="170" t="inlineStr">
        <is>
          <t xml:space="preserve">        Else</t>
        </is>
      </c>
    </row>
    <row r="362" ht="14" customHeight="1" s="85">
      <c r="A362" s="169" t="n">
        <v>349</v>
      </c>
      <c r="B362" s="170" t="inlineStr">
        <is>
          <t xml:space="preserve">            If bEnCours Then</t>
        </is>
      </c>
    </row>
    <row r="363" ht="14" customHeight="1" s="85">
      <c r="A363" s="169" t="n">
        <v>350</v>
      </c>
      <c r="B363" s="170" t="inlineStr">
        <is>
          <t xml:space="preserve">                EcrireCell wsSus, rSus, 8, "En cours"</t>
        </is>
      </c>
    </row>
    <row r="364" ht="14" customHeight="1" s="85">
      <c r="A364" s="169" t="n">
        <v>351</v>
      </c>
      <c r="B364" s="170" t="inlineStr">
        <is>
          <t xml:space="preserve">            Else</t>
        </is>
      </c>
    </row>
    <row r="365" ht="14" customHeight="1" s="85">
      <c r="A365" s="169" t="n">
        <v>352</v>
      </c>
      <c r="B365" s="170" t="inlineStr">
        <is>
          <t xml:space="preserve">                EcrireCell wsSus, rSus, 8, "Cloture"</t>
        </is>
      </c>
    </row>
    <row r="366" ht="14" customHeight="1" s="85">
      <c r="A366" s="169" t="n">
        <v>353</v>
      </c>
      <c r="B366" s="170" t="inlineStr">
        <is>
          <t xml:space="preserve">            End If</t>
        </is>
      </c>
    </row>
    <row r="367" ht="14" customHeight="1" s="85">
      <c r="A367" s="169" t="n">
        <v>354</v>
      </c>
      <c r="B367" s="170" t="inlineStr">
        <is>
          <t xml:space="preserve">        End If</t>
        </is>
      </c>
    </row>
    <row r="368" ht="14" customHeight="1" s="85">
      <c r="A368" s="169" t="n">
        <v>355</v>
      </c>
      <c r="B368" s="170" t="inlineStr">
        <is>
          <t xml:space="preserve">    Next i</t>
        </is>
      </c>
    </row>
    <row r="369" ht="14" customHeight="1" s="85">
      <c r="A369" s="169" t="n">
        <v>356</v>
      </c>
      <c r="B369" s="170" t="inlineStr"/>
    </row>
    <row r="370" ht="14" customHeight="1" s="85">
      <c r="A370" s="169" t="n">
        <v>357</v>
      </c>
      <c r="B370" s="170" t="inlineStr">
        <is>
          <t xml:space="preserve">    wsCfg.Range("B3").Value = Now()</t>
        </is>
      </c>
    </row>
    <row r="371" ht="14" customHeight="1" s="85">
      <c r="A371" s="169" t="n">
        <v>358</v>
      </c>
      <c r="B371" s="170" t="inlineStr">
        <is>
          <t xml:space="preserve">    wsCfg.Range("B4").Value = "Connecte - " &amp; totalImport &amp; " dossier(s) | " &amp; nbAnalystes &amp; " analyste(s)"</t>
        </is>
      </c>
    </row>
    <row r="372" ht="14" customHeight="1" s="85">
      <c r="A372" s="169" t="n">
        <v>359</v>
      </c>
      <c r="B372" s="170" t="inlineStr"/>
    </row>
    <row r="373" ht="14" customHeight="1" s="85">
      <c r="A373" s="169" t="n">
        <v>360</v>
      </c>
      <c r="B373" s="170" t="inlineStr">
        <is>
          <t xml:space="preserve">    Application.Calculation = xlCalculationAutomatic</t>
        </is>
      </c>
    </row>
    <row r="374" ht="14" customHeight="1" s="85">
      <c r="A374" s="169" t="n">
        <v>361</v>
      </c>
      <c r="B374" s="170" t="inlineStr">
        <is>
          <t xml:space="preserve">    Application.ScreenUpdating = True</t>
        </is>
      </c>
    </row>
    <row r="375" ht="14" customHeight="1" s="85">
      <c r="A375" s="169" t="n">
        <v>362</v>
      </c>
      <c r="B375" s="170" t="inlineStr"/>
    </row>
    <row r="376" ht="14" customHeight="1" s="85">
      <c r="A376" s="169" t="n">
        <v>363</v>
      </c>
      <c r="B376" s="170" t="inlineStr">
        <is>
          <t xml:space="preserve">    MsgBox "Actualisation terminee !" &amp; vbCrLf &amp; vbCrLf &amp; _</t>
        </is>
      </c>
    </row>
    <row r="377" ht="14" customHeight="1" s="85">
      <c r="A377" s="169" t="n">
        <v>364</v>
      </c>
      <c r="B377" s="170" t="inlineStr">
        <is>
          <t xml:space="preserve">           totalImport &amp; " dossier(s) importes." &amp; vbCrLf &amp; _</t>
        </is>
      </c>
    </row>
    <row r="378" ht="14" customHeight="1" s="85">
      <c r="A378" s="169" t="n">
        <v>365</v>
      </c>
      <c r="B378" s="170" t="inlineStr">
        <is>
          <t xml:space="preserve">           nbAnalystes &amp; " analyste(s) detectes.", _</t>
        </is>
      </c>
    </row>
    <row r="379" ht="14" customHeight="1" s="85">
      <c r="A379" s="169" t="n">
        <v>366</v>
      </c>
      <c r="B379" s="170" t="inlineStr">
        <is>
          <t xml:space="preserve">           vbInformation, "Suivi Suspens SGCI"</t>
        </is>
      </c>
    </row>
    <row r="380" ht="14" customHeight="1" s="85">
      <c r="A380" s="169" t="n">
        <v>367</v>
      </c>
      <c r="B380" s="170" t="inlineStr">
        <is>
          <t xml:space="preserve">    Exit Sub</t>
        </is>
      </c>
    </row>
    <row r="381" ht="14" customHeight="1" s="85">
      <c r="A381" s="169" t="n">
        <v>368</v>
      </c>
      <c r="B381" s="170" t="inlineStr"/>
    </row>
    <row r="382" ht="14" customHeight="1" s="85">
      <c r="A382" s="169" t="n">
        <v>369</v>
      </c>
      <c r="B382" s="170" t="inlineStr">
        <is>
          <t>ErrHandler:</t>
        </is>
      </c>
    </row>
    <row r="383" ht="14" customHeight="1" s="85">
      <c r="A383" s="169" t="n">
        <v>370</v>
      </c>
      <c r="B383" s="170" t="inlineStr">
        <is>
          <t xml:space="preserve">    wsCfg.Range("B4").Value = "Erreur n" &amp; Err.Number &amp; " : " &amp; Err.Description</t>
        </is>
      </c>
    </row>
    <row r="384" ht="14" customHeight="1" s="85">
      <c r="A384" s="169" t="n">
        <v>371</v>
      </c>
      <c r="B384" s="170" t="inlineStr">
        <is>
          <t xml:space="preserve">    Application.Calculation = xlCalculationAutomatic</t>
        </is>
      </c>
    </row>
    <row r="385" ht="14" customHeight="1" s="85">
      <c r="A385" s="169" t="n">
        <v>372</v>
      </c>
      <c r="B385" s="170" t="inlineStr">
        <is>
          <t xml:space="preserve">    Application.ScreenUpdating = True</t>
        </is>
      </c>
    </row>
    <row r="386" ht="14" customHeight="1" s="85">
      <c r="A386" s="169" t="n">
        <v>373</v>
      </c>
      <c r="B386" s="170" t="inlineStr">
        <is>
          <t xml:space="preserve">    MsgBox "Erreur n" &amp; Err.Number &amp; " :" &amp; vbCrLf &amp; Err.Description, _</t>
        </is>
      </c>
    </row>
    <row r="387" ht="14" customHeight="1" s="85">
      <c r="A387" s="169" t="n">
        <v>374</v>
      </c>
      <c r="B387" s="170" t="inlineStr">
        <is>
          <t xml:space="preserve">           vbCritical, "Erreur VBA"</t>
        </is>
      </c>
    </row>
    <row r="388" ht="14" customHeight="1" s="85">
      <c r="A388" s="169" t="n">
        <v>375</v>
      </c>
      <c r="B388" s="170" t="inlineStr"/>
    </row>
    <row r="389" ht="14" customHeight="1" s="85">
      <c r="A389" s="169" t="n">
        <v>376</v>
      </c>
      <c r="B389" s="170" t="inlineStr">
        <is>
          <t>Cleanup:</t>
        </is>
      </c>
    </row>
    <row r="390" ht="14" customHeight="1" s="85">
      <c r="A390" s="169" t="n">
        <v>377</v>
      </c>
      <c r="B390" s="170" t="inlineStr">
        <is>
          <t xml:space="preserve">    On Error Resume Next</t>
        </is>
      </c>
    </row>
    <row r="391" ht="14" customHeight="1" s="85">
      <c r="A391" s="169" t="n">
        <v>378</v>
      </c>
      <c r="B391" s="170" t="inlineStr">
        <is>
          <t xml:space="preserve">    If Not rsAn Is Nothing Then If rsAn.State = 1 Then rsAn.Close</t>
        </is>
      </c>
    </row>
    <row r="392" ht="14" customHeight="1" s="85">
      <c r="A392" s="169" t="n">
        <v>379</v>
      </c>
      <c r="B392" s="170" t="inlineStr">
        <is>
          <t xml:space="preserve">    If Not rs   Is Nothing Then If rs.State   = 1 Then rs.Close</t>
        </is>
      </c>
    </row>
    <row r="393" ht="14" customHeight="1" s="85">
      <c r="A393" s="169" t="n">
        <v>380</v>
      </c>
      <c r="B393" s="170" t="inlineStr">
        <is>
          <t xml:space="preserve">    If Not conn Is Nothing Then If conn.State = 1 Then conn.Close</t>
        </is>
      </c>
    </row>
    <row r="394" ht="14" customHeight="1" s="85">
      <c r="A394" s="169" t="n">
        <v>381</v>
      </c>
      <c r="B394" s="170" t="inlineStr">
        <is>
          <t xml:space="preserve">    Set rsAn = Nothing : Set rs = Nothing : Set conn = Nothing</t>
        </is>
      </c>
    </row>
    <row r="395" ht="14" customHeight="1" s="85">
      <c r="A395" s="169" t="n">
        <v>382</v>
      </c>
      <c r="B395" s="170" t="inlineStr">
        <is>
          <t xml:space="preserve">    Application.Calculation = xlCalculationAutomatic</t>
        </is>
      </c>
    </row>
    <row r="396" ht="14" customHeight="1" s="85">
      <c r="A396" s="169" t="n">
        <v>383</v>
      </c>
      <c r="B396" s="170" t="inlineStr">
        <is>
          <t xml:space="preserve">    Application.ScreenUpdating = True</t>
        </is>
      </c>
    </row>
    <row r="397" ht="14" customHeight="1" s="85">
      <c r="A397" s="169" t="n">
        <v>384</v>
      </c>
      <c r="B397" s="170" t="inlineStr">
        <is>
          <t>End Sub</t>
        </is>
      </c>
    </row>
    <row r="398" ht="14" customHeight="1" s="85">
      <c r="A398" s="169" t="n">
        <v>385</v>
      </c>
      <c r="B398" s="170" t="inlineStr"/>
    </row>
    <row r="399" ht="14" customHeight="1" s="85">
      <c r="A399" s="169" t="n">
        <v>386</v>
      </c>
      <c r="B399" s="170" t="inlineStr">
        <is>
          <t>Sub ListerColonnesAccess()</t>
        </is>
      </c>
    </row>
    <row r="400" ht="14" customHeight="1" s="85">
      <c r="A400" s="169" t="n">
        <v>387</v>
      </c>
      <c r="B400" s="170" t="inlineStr">
        <is>
          <t xml:space="preserve">    Dim sPath As String</t>
        </is>
      </c>
    </row>
    <row r="401" ht="14" customHeight="1" s="85">
      <c r="A401" s="169" t="n">
        <v>388</v>
      </c>
      <c r="B401" s="170" t="inlineStr">
        <is>
          <t xml:space="preserve">    Dim conn  As Object</t>
        </is>
      </c>
    </row>
    <row r="402" ht="14" customHeight="1" s="85">
      <c r="A402" s="169" t="n">
        <v>389</v>
      </c>
      <c r="B402" s="170" t="inlineStr">
        <is>
          <t xml:space="preserve">    Dim rs    As Object</t>
        </is>
      </c>
    </row>
    <row r="403" ht="14" customHeight="1" s="85">
      <c r="A403" s="169" t="n">
        <v>390</v>
      </c>
      <c r="B403" s="170" t="inlineStr">
        <is>
          <t xml:space="preserve">    sPath = Trim(ThisWorkbook.Sheets(1).Range("B1").Value)</t>
        </is>
      </c>
    </row>
    <row r="404" ht="14" customHeight="1" s="85">
      <c r="A404" s="169" t="n">
        <v>391</v>
      </c>
      <c r="B404" s="170" t="inlineStr">
        <is>
          <t xml:space="preserve">    If sPath = "" Or Dir(sPath) = "" Then</t>
        </is>
      </c>
    </row>
    <row r="405" ht="14" customHeight="1" s="85">
      <c r="A405" s="169" t="n">
        <v>392</v>
      </c>
      <c r="B405" s="170" t="inlineStr">
        <is>
          <t xml:space="preserve">        MsgBox "Fichier Access introuvable.", vbCritical</t>
        </is>
      </c>
    </row>
    <row r="406" ht="14" customHeight="1" s="85">
      <c r="A406" s="169" t="n">
        <v>393</v>
      </c>
      <c r="B406" s="170" t="inlineStr">
        <is>
          <t xml:space="preserve">        Exit Sub</t>
        </is>
      </c>
    </row>
    <row r="407" ht="14" customHeight="1" s="85">
      <c r="A407" s="169" t="n">
        <v>394</v>
      </c>
      <c r="B407" s="170" t="inlineStr">
        <is>
          <t xml:space="preserve">    End If</t>
        </is>
      </c>
    </row>
    <row r="408" ht="14" customHeight="1" s="85">
      <c r="A408" s="169" t="n">
        <v>395</v>
      </c>
      <c r="B408" s="170" t="inlineStr">
        <is>
          <t xml:space="preserve">    Set conn = ConnecterAccess(sPath)</t>
        </is>
      </c>
    </row>
    <row r="409" ht="14" customHeight="1" s="85">
      <c r="A409" s="169" t="n">
        <v>396</v>
      </c>
      <c r="B409" s="170" t="inlineStr">
        <is>
          <t xml:space="preserve">    If conn Is Nothing Then</t>
        </is>
      </c>
    </row>
    <row r="410" ht="14" customHeight="1" s="85">
      <c r="A410" s="169" t="n">
        <v>397</v>
      </c>
      <c r="B410" s="170" t="inlineStr">
        <is>
          <t xml:space="preserve">        MsgBox "Connexion impossible.", vbCritical</t>
        </is>
      </c>
    </row>
    <row r="411" ht="14" customHeight="1" s="85">
      <c r="A411" s="169" t="n">
        <v>398</v>
      </c>
      <c r="B411" s="170" t="inlineStr">
        <is>
          <t xml:space="preserve">        Exit Sub</t>
        </is>
      </c>
    </row>
    <row r="412" ht="14" customHeight="1" s="85">
      <c r="A412" s="169" t="n">
        <v>399</v>
      </c>
      <c r="B412" s="170" t="inlineStr">
        <is>
          <t xml:space="preserve">    End If</t>
        </is>
      </c>
    </row>
    <row r="413" ht="14" customHeight="1" s="85">
      <c r="A413" s="169" t="n">
        <v>400</v>
      </c>
      <c r="B413" s="170" t="inlineStr">
        <is>
          <t xml:space="preserve">    Set rs = CreateObject("ADODB.Recordset")</t>
        </is>
      </c>
    </row>
    <row r="414" ht="14" customHeight="1" s="85">
      <c r="A414" s="169" t="n">
        <v>401</v>
      </c>
      <c r="B414" s="170" t="inlineStr">
        <is>
          <t xml:space="preserve">    rs.Open "SELECT TOP 1 * FROM [DATABASE]", conn, 1, 3</t>
        </is>
      </c>
    </row>
    <row r="415" ht="14" customHeight="1" s="85">
      <c r="A415" s="169" t="n">
        <v>402</v>
      </c>
      <c r="B415" s="170" t="inlineStr">
        <is>
          <t xml:space="preserve">    Dim msg As String</t>
        </is>
      </c>
    </row>
    <row r="416" ht="14" customHeight="1" s="85">
      <c r="A416" s="169" t="n">
        <v>403</v>
      </c>
      <c r="B416" s="170" t="inlineStr">
        <is>
          <t xml:space="preserve">    msg = "Colonnes (" &amp; rs.Fields.Count &amp; ") :" &amp; vbCrLf &amp; vbCrLf</t>
        </is>
      </c>
    </row>
    <row r="417" ht="14" customHeight="1" s="85">
      <c r="A417" s="169" t="n">
        <v>404</v>
      </c>
      <c r="B417" s="170" t="inlineStr">
        <is>
          <t xml:space="preserve">    Dim f As Object</t>
        </is>
      </c>
    </row>
    <row r="418" ht="14" customHeight="1" s="85">
      <c r="A418" s="169" t="n">
        <v>405</v>
      </c>
      <c r="B418" s="170" t="inlineStr">
        <is>
          <t xml:space="preserve">    Dim i As Integer</t>
        </is>
      </c>
    </row>
    <row r="419" ht="14" customHeight="1" s="85">
      <c r="A419" s="169" t="n">
        <v>406</v>
      </c>
      <c r="B419" s="170" t="inlineStr">
        <is>
          <t xml:space="preserve">    i = 1</t>
        </is>
      </c>
    </row>
    <row r="420" ht="14" customHeight="1" s="85">
      <c r="A420" s="169" t="n">
        <v>407</v>
      </c>
      <c r="B420" s="170" t="inlineStr">
        <is>
          <t xml:space="preserve">    For Each f In rs.Fields</t>
        </is>
      </c>
    </row>
    <row r="421" ht="14" customHeight="1" s="85">
      <c r="A421" s="169" t="n">
        <v>408</v>
      </c>
      <c r="B421" s="170" t="inlineStr">
        <is>
          <t xml:space="preserve">        msg = msg &amp; i &amp; ". [" &amp; f.Name &amp; "]" &amp; vbCrLf</t>
        </is>
      </c>
    </row>
    <row r="422" ht="14" customHeight="1" s="85">
      <c r="A422" s="169" t="n">
        <v>409</v>
      </c>
      <c r="B422" s="170" t="inlineStr">
        <is>
          <t xml:space="preserve">        i = i + 1</t>
        </is>
      </c>
    </row>
    <row r="423" ht="14" customHeight="1" s="85">
      <c r="A423" s="169" t="n">
        <v>410</v>
      </c>
      <c r="B423" s="170" t="inlineStr">
        <is>
          <t xml:space="preserve">        If i Mod 35 = 0 Then</t>
        </is>
      </c>
    </row>
    <row r="424" ht="14" customHeight="1" s="85">
      <c r="A424" s="169" t="n">
        <v>411</v>
      </c>
      <c r="B424" s="170" t="inlineStr">
        <is>
          <t xml:space="preserve">            MsgBox msg, vbInformation, "Colonnes (suite)"</t>
        </is>
      </c>
    </row>
    <row r="425" ht="14" customHeight="1" s="85">
      <c r="A425" s="169" t="n">
        <v>412</v>
      </c>
      <c r="B425" s="170" t="inlineStr">
        <is>
          <t xml:space="preserve">            msg = ""</t>
        </is>
      </c>
    </row>
    <row r="426" ht="14" customHeight="1" s="85">
      <c r="A426" s="169" t="n">
        <v>413</v>
      </c>
      <c r="B426" s="170" t="inlineStr">
        <is>
          <t xml:space="preserve">        End If</t>
        </is>
      </c>
    </row>
    <row r="427" ht="14" customHeight="1" s="85">
      <c r="A427" s="169" t="n">
        <v>414</v>
      </c>
      <c r="B427" s="170" t="inlineStr">
        <is>
          <t xml:space="preserve">    Next f</t>
        </is>
      </c>
    </row>
    <row r="428" ht="14" customHeight="1" s="85">
      <c r="A428" s="169" t="n">
        <v>415</v>
      </c>
      <c r="B428" s="170" t="inlineStr">
        <is>
          <t xml:space="preserve">    rs.Close : conn.Close</t>
        </is>
      </c>
    </row>
    <row r="429" ht="14" customHeight="1" s="85">
      <c r="A429" s="169" t="n">
        <v>416</v>
      </c>
      <c r="B429" s="170" t="inlineStr">
        <is>
          <t xml:space="preserve">    If Len(msg) &gt; 0 Then MsgBox msg, vbInformation, "Colonnes DATABASE"</t>
        </is>
      </c>
    </row>
    <row r="430" ht="14" customHeight="1" s="85">
      <c r="A430" s="169" t="n">
        <v>417</v>
      </c>
      <c r="B430" s="170" t="inlineStr">
        <is>
          <t>End Sub</t>
        </is>
      </c>
    </row>
    <row r="431" ht="14" customHeight="1" s="85">
      <c r="A431" s="169" t="n">
        <v>418</v>
      </c>
      <c r="B431" s="170" t="inlineStr"/>
    </row>
    <row r="432" ht="14" customHeight="1" s="85">
      <c r="A432" s="169" t="n">
        <v>419</v>
      </c>
      <c r="B432" s="170" t="inlineStr">
        <is>
          <t>Sub DiagnosticProviders()</t>
        </is>
      </c>
    </row>
    <row r="433" ht="14" customHeight="1" s="85">
      <c r="A433" s="169" t="n">
        <v>420</v>
      </c>
      <c r="B433" s="170" t="inlineStr">
        <is>
          <t xml:space="preserve">    Dim msg As String</t>
        </is>
      </c>
    </row>
    <row r="434" ht="14" customHeight="1" s="85">
      <c r="A434" s="169" t="n">
        <v>421</v>
      </c>
      <c r="B434" s="170" t="inlineStr">
        <is>
          <t xml:space="preserve">    msg = "Test drivers OLEDB :" &amp; vbCrLf &amp; vbCrLf</t>
        </is>
      </c>
    </row>
    <row r="435" ht="14" customHeight="1" s="85">
      <c r="A435" s="169" t="n">
        <v>422</v>
      </c>
      <c r="B435" s="170" t="inlineStr">
        <is>
          <t xml:space="preserve">    Dim providers(1) As String</t>
        </is>
      </c>
    </row>
    <row r="436" ht="14" customHeight="1" s="85">
      <c r="A436" s="169" t="n">
        <v>423</v>
      </c>
      <c r="B436" s="170" t="inlineStr">
        <is>
          <t xml:space="preserve">    providers(0) = "Microsoft.ACE.OLEDB.16.0"</t>
        </is>
      </c>
    </row>
    <row r="437" ht="14" customHeight="1" s="85">
      <c r="A437" s="169" t="n">
        <v>424</v>
      </c>
      <c r="B437" s="170" t="inlineStr">
        <is>
          <t xml:space="preserve">    providers(1) = "Microsoft.ACE.OLEDB.12.0"</t>
        </is>
      </c>
    </row>
    <row r="438" ht="14" customHeight="1" s="85">
      <c r="A438" s="169" t="n">
        <v>425</v>
      </c>
      <c r="B438" s="170" t="inlineStr">
        <is>
          <t xml:space="preserve">    Dim p As Integer</t>
        </is>
      </c>
    </row>
    <row r="439" ht="14" customHeight="1" s="85">
      <c r="A439" s="169" t="n">
        <v>426</v>
      </c>
      <c r="B439" s="170" t="inlineStr">
        <is>
          <t xml:space="preserve">    For p = 0 To 1</t>
        </is>
      </c>
    </row>
    <row r="440" ht="14" customHeight="1" s="85">
      <c r="A440" s="169" t="n">
        <v>427</v>
      </c>
      <c r="B440" s="170" t="inlineStr">
        <is>
          <t xml:space="preserve">        Dim cn As Object</t>
        </is>
      </c>
    </row>
    <row r="441" ht="14" customHeight="1" s="85">
      <c r="A441" s="169" t="n">
        <v>428</v>
      </c>
      <c r="B441" s="170" t="inlineStr">
        <is>
          <t xml:space="preserve">        Set cn = CreateObject("ADODB.Connection")</t>
        </is>
      </c>
    </row>
    <row r="442" ht="14" customHeight="1" s="85">
      <c r="A442" s="169" t="n">
        <v>429</v>
      </c>
      <c r="B442" s="170" t="inlineStr">
        <is>
          <t xml:space="preserve">        cn.ConnectionString = "Provider=" &amp; providers(p) &amp; ";Data Source=C:\test.accdb;"</t>
        </is>
      </c>
    </row>
    <row r="443" ht="14" customHeight="1" s="85">
      <c r="A443" s="169" t="n">
        <v>430</v>
      </c>
      <c r="B443" s="170" t="inlineStr">
        <is>
          <t xml:space="preserve">        On Error Resume Next</t>
        </is>
      </c>
    </row>
    <row r="444" ht="14" customHeight="1" s="85">
      <c r="A444" s="169" t="n">
        <v>431</v>
      </c>
      <c r="B444" s="170" t="inlineStr">
        <is>
          <t xml:space="preserve">        Err.Clear</t>
        </is>
      </c>
    </row>
    <row r="445" ht="14" customHeight="1" s="85">
      <c r="A445" s="169" t="n">
        <v>432</v>
      </c>
      <c r="B445" s="170" t="inlineStr">
        <is>
          <t xml:space="preserve">        cn.Open</t>
        </is>
      </c>
    </row>
    <row r="446" ht="14" customHeight="1" s="85">
      <c r="A446" s="169" t="n">
        <v>433</v>
      </c>
      <c r="B446" s="170" t="inlineStr">
        <is>
          <t xml:space="preserve">        Dim sErr As String : sErr = Err.Description</t>
        </is>
      </c>
    </row>
    <row r="447" ht="14" customHeight="1" s="85">
      <c r="A447" s="169" t="n">
        <v>434</v>
      </c>
      <c r="B447" s="170" t="inlineStr">
        <is>
          <t xml:space="preserve">        Dim nErr As Long   : nErr = Err.Number</t>
        </is>
      </c>
    </row>
    <row r="448" ht="14" customHeight="1" s="85">
      <c r="A448" s="169" t="n">
        <v>435</v>
      </c>
      <c r="B448" s="170" t="inlineStr">
        <is>
          <t xml:space="preserve">        On Error GoTo 0</t>
        </is>
      </c>
    </row>
    <row r="449" ht="14" customHeight="1" s="85">
      <c r="A449" s="169" t="n">
        <v>436</v>
      </c>
      <c r="B449" s="170" t="inlineStr">
        <is>
          <t xml:space="preserve">        If cn.State = 1 Then cn.Close</t>
        </is>
      </c>
    </row>
    <row r="450" ht="14" customHeight="1" s="85">
      <c r="A450" s="169" t="n">
        <v>437</v>
      </c>
      <c r="B450" s="170" t="inlineStr">
        <is>
          <t xml:space="preserve">        If nErr = 0 Or InStr(LCase(sErr), "find") &gt; 0 Or InStr(LCase(sErr), "trouv") &gt; 0 Then</t>
        </is>
      </c>
    </row>
    <row r="451" ht="14" customHeight="1" s="85">
      <c r="A451" s="169" t="n">
        <v>438</v>
      </c>
      <c r="B451" s="170" t="inlineStr">
        <is>
          <t xml:space="preserve">            msg = msg &amp; "  [OK] " &amp; providers(p) &amp; vbCrLf</t>
        </is>
      </c>
    </row>
    <row r="452" ht="14" customHeight="1" s="85">
      <c r="A452" s="169" t="n">
        <v>439</v>
      </c>
      <c r="B452" s="170" t="inlineStr">
        <is>
          <t xml:space="preserve">        Else</t>
        </is>
      </c>
    </row>
    <row r="453" ht="14" customHeight="1" s="85">
      <c r="A453" s="169" t="n">
        <v>440</v>
      </c>
      <c r="B453" s="170" t="inlineStr">
        <is>
          <t xml:space="preserve">            msg = msg &amp; "  [X]  " &amp; providers(p) &amp; " -&gt; " &amp; sErr &amp; vbCrLf</t>
        </is>
      </c>
    </row>
    <row r="454" ht="14" customHeight="1" s="85">
      <c r="A454" s="169" t="n">
        <v>441</v>
      </c>
      <c r="B454" s="170" t="inlineStr">
        <is>
          <t xml:space="preserve">        End If</t>
        </is>
      </c>
    </row>
    <row r="455" ht="14" customHeight="1" s="85">
      <c r="A455" s="169" t="n">
        <v>442</v>
      </c>
      <c r="B455" s="170" t="inlineStr">
        <is>
          <t xml:space="preserve">        Set cn = Nothing</t>
        </is>
      </c>
    </row>
    <row r="456" ht="14" customHeight="1" s="85">
      <c r="A456" s="169" t="n">
        <v>443</v>
      </c>
      <c r="B456" s="170" t="inlineStr">
        <is>
          <t xml:space="preserve">    Next p</t>
        </is>
      </c>
    </row>
    <row r="457" ht="14" customHeight="1" s="85">
      <c r="A457" s="169" t="n">
        <v>444</v>
      </c>
      <c r="B457" s="170" t="inlineStr">
        <is>
          <t xml:space="preserve">    msg = msg &amp; vbCrLf &amp; "Chemin : " &amp; ThisWorkbook.Sheets(1).Range("B1").Value</t>
        </is>
      </c>
    </row>
    <row r="458" ht="14" customHeight="1" s="85">
      <c r="A458" s="169" t="n">
        <v>445</v>
      </c>
      <c r="B458" s="170" t="inlineStr">
        <is>
          <t xml:space="preserve">    MsgBox msg, vbInformation, "Diagnostic OLEDB"</t>
        </is>
      </c>
    </row>
    <row r="459" ht="14" customHeight="1" s="85">
      <c r="A459" s="169" t="n">
        <v>446</v>
      </c>
      <c r="B459" s="170" t="inlineStr">
        <is>
          <t>End Sub</t>
        </is>
      </c>
    </row>
    <row r="460" ht="14" customHeight="1" s="85">
      <c r="A460" s="169" t="n">
        <v>447</v>
      </c>
      <c r="B460" s="170" t="inlineStr"/>
    </row>
    <row r="461" ht="14" customHeight="1" s="85">
      <c r="A461" s="169" t="n">
        <v>448</v>
      </c>
      <c r="B461" s="170" t="inlineStr">
        <is>
          <t>Sub ConfigurerCheminAccess()</t>
        </is>
      </c>
    </row>
    <row r="462" ht="14" customHeight="1" s="85">
      <c r="A462" s="169" t="n">
        <v>449</v>
      </c>
      <c r="B462" s="170" t="inlineStr">
        <is>
          <t xml:space="preserve">    Dim wsCfg As Worksheet</t>
        </is>
      </c>
    </row>
    <row r="463" ht="14" customHeight="1" s="85">
      <c r="A463" s="169" t="n">
        <v>450</v>
      </c>
      <c r="B463" s="170" t="inlineStr">
        <is>
          <t xml:space="preserve">    Set wsCfg = ThisWorkbook.Sheets(1)</t>
        </is>
      </c>
    </row>
    <row r="464" ht="14" customHeight="1" s="85">
      <c r="A464" s="169" t="n">
        <v>451</v>
      </c>
      <c r="B464" s="170" t="inlineStr">
        <is>
          <t xml:space="preserve">    Dim sPath As String</t>
        </is>
      </c>
    </row>
    <row r="465" ht="14" customHeight="1" s="85">
      <c r="A465" s="169" t="n">
        <v>452</v>
      </c>
      <c r="B465" s="170" t="inlineStr">
        <is>
          <t xml:space="preserve">    sPath = InputBox("Chemin du fichier Access :" &amp; vbCrLf &amp; _</t>
        </is>
      </c>
    </row>
    <row r="466" ht="14" customHeight="1" s="85">
      <c r="A466" s="169" t="n">
        <v>453</v>
      </c>
      <c r="B466" s="170" t="inlineStr">
        <is>
          <t xml:space="preserve">                     "Actuel : " &amp; wsCfg.Range("B1").Value, _</t>
        </is>
      </c>
    </row>
    <row r="467" ht="14" customHeight="1" s="85">
      <c r="A467" s="169" t="n">
        <v>454</v>
      </c>
      <c r="B467" s="170" t="inlineStr">
        <is>
          <t xml:space="preserve">                     "Configurer", wsCfg.Range("B1").Value)</t>
        </is>
      </c>
    </row>
    <row r="468" ht="14" customHeight="1" s="85">
      <c r="A468" s="169" t="n">
        <v>455</v>
      </c>
      <c r="B468" s="170" t="inlineStr">
        <is>
          <t xml:space="preserve">    If sPath = "" Then Exit Sub</t>
        </is>
      </c>
    </row>
    <row r="469" ht="14" customHeight="1" s="85">
      <c r="A469" s="169" t="n">
        <v>456</v>
      </c>
      <c r="B469" s="170" t="inlineStr">
        <is>
          <t xml:space="preserve">    wsCfg.Range("B1").Value = sPath</t>
        </is>
      </c>
    </row>
    <row r="470" ht="14" customHeight="1" s="85">
      <c r="A470" s="169" t="n">
        <v>457</v>
      </c>
      <c r="B470" s="170" t="inlineStr">
        <is>
          <t xml:space="preserve">    MsgBox "Chemin enregistre.", vbInformation</t>
        </is>
      </c>
    </row>
    <row r="471" ht="14" customHeight="1" s="85">
      <c r="A471" s="169" t="n">
        <v>458</v>
      </c>
      <c r="B471" s="170" t="inlineStr">
        <is>
          <t>End Sub</t>
        </is>
      </c>
    </row>
    <row r="472" ht="13.5" customHeight="1" s="85">
      <c r="A472" s="167" t="n"/>
      <c r="B472" s="168" t="n"/>
    </row>
    <row r="473" ht="13.5" customHeight="1" s="85">
      <c r="A473" s="167" t="n"/>
      <c r="B473" s="168" t="n"/>
    </row>
    <row r="474" ht="13.5" customHeight="1" s="85">
      <c r="A474" s="167" t="n"/>
      <c r="B474" s="168" t="n"/>
    </row>
    <row r="475" ht="13.5" customHeight="1" s="85">
      <c r="A475" s="167" t="n"/>
      <c r="B475" s="168" t="n"/>
    </row>
    <row r="476" ht="13.5" customHeight="1" s="85">
      <c r="A476" s="167" t="n"/>
      <c r="B476" s="168" t="n"/>
    </row>
    <row r="477" ht="13.5" customHeight="1" s="85">
      <c r="A477" s="167" t="n"/>
      <c r="B477" s="168" t="n"/>
    </row>
    <row r="478" ht="13.5" customHeight="1" s="85">
      <c r="A478" s="167" t="n"/>
      <c r="B478" s="168" t="n"/>
    </row>
    <row r="479" ht="13.5" customHeight="1" s="85">
      <c r="A479" s="167" t="n"/>
      <c r="B479" s="168" t="n"/>
    </row>
    <row r="480" ht="13.5" customHeight="1" s="85">
      <c r="A480" s="167" t="n"/>
      <c r="B480" s="168" t="n"/>
    </row>
    <row r="481" ht="13.5" customHeight="1" s="85">
      <c r="A481" s="167" t="n"/>
      <c r="B481" s="168" t="n"/>
    </row>
    <row r="482" ht="13.5" customHeight="1" s="85">
      <c r="A482" s="167" t="n"/>
      <c r="B482" s="168" t="n"/>
    </row>
    <row r="483" ht="13.5" customHeight="1" s="85">
      <c r="A483" s="167" t="n"/>
      <c r="B483" s="168" t="n"/>
    </row>
    <row r="484" ht="13.5" customHeight="1" s="85">
      <c r="A484" s="167" t="n"/>
      <c r="B484" s="168" t="n"/>
    </row>
    <row r="485" ht="13.5" customHeight="1" s="85">
      <c r="A485" s="167" t="n"/>
      <c r="B485" s="168" t="n"/>
    </row>
    <row r="486" ht="13.5" customHeight="1" s="85">
      <c r="A486" s="167" t="n"/>
      <c r="B486" s="168" t="n"/>
    </row>
    <row r="487" ht="13.5" customHeight="1" s="85">
      <c r="A487" s="167" t="n"/>
      <c r="B487" s="168" t="n"/>
    </row>
    <row r="488" ht="13.5" customHeight="1" s="85">
      <c r="A488" s="167" t="n"/>
      <c r="B488" s="168" t="n"/>
    </row>
    <row r="489" ht="13.5" customHeight="1" s="85">
      <c r="A489" s="167" t="n"/>
      <c r="B489" s="168" t="n"/>
    </row>
    <row r="490" ht="13.5" customHeight="1" s="85">
      <c r="A490" s="167" t="n"/>
      <c r="B490" s="168" t="n"/>
    </row>
    <row r="491" ht="13.5" customHeight="1" s="85">
      <c r="A491" s="167" t="n"/>
      <c r="B491" s="168" t="n"/>
    </row>
    <row r="492" ht="13.5" customHeight="1" s="85">
      <c r="A492" s="167" t="n"/>
      <c r="B492" s="168" t="n"/>
    </row>
    <row r="493" ht="13.5" customHeight="1" s="85">
      <c r="A493" s="167" t="n"/>
      <c r="B493" s="168" t="n"/>
    </row>
    <row r="494" ht="13.5" customHeight="1" s="85">
      <c r="A494" s="167" t="n"/>
      <c r="B494" s="168" t="n"/>
    </row>
    <row r="495" ht="13.5" customHeight="1" s="85">
      <c r="A495" s="167" t="n"/>
      <c r="B495" s="168" t="n"/>
    </row>
    <row r="496" ht="13.5" customHeight="1" s="85">
      <c r="A496" s="167" t="n"/>
      <c r="B496" s="168" t="n"/>
    </row>
    <row r="497" ht="13.5" customHeight="1" s="85">
      <c r="A497" s="167" t="n"/>
      <c r="B497" s="168" t="n"/>
    </row>
    <row r="498" ht="13.5" customHeight="1" s="85">
      <c r="A498" s="167" t="n"/>
      <c r="B498" s="168" t="n"/>
    </row>
    <row r="499" ht="13.5" customHeight="1" s="85">
      <c r="A499" s="167" t="n"/>
      <c r="B499" s="168" t="n"/>
    </row>
    <row r="500" ht="13.5" customHeight="1" s="85">
      <c r="A500" s="167" t="n"/>
      <c r="B500" s="168" t="n"/>
    </row>
    <row r="501" ht="13.5" customHeight="1" s="85">
      <c r="A501" s="167" t="n"/>
      <c r="B501" s="168" t="n"/>
    </row>
  </sheetData>
  <mergeCells count="2">
    <mergeCell ref="A13:B13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2026-05-31T23:30:37Z</dcterms:created>
  <dcterms:modified xmlns:dcterms="http://purl.org/dc/terms/" xmlns:xsi="http://www.w3.org/2001/XMLSchema-instance" xsi:type="dcterms:W3CDTF">2026-06-11T18:15:37Z</dcterms:modified>
  <cp:revision>7</cp:revision>
</cp:coreProperties>
</file>