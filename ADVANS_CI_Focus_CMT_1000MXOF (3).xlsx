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VIN\Downloads\"/>
    </mc:Choice>
  </mc:AlternateContent>
  <xr:revisionPtr revIDLastSave="0" documentId="13_ncr:1_{7C152C21-DDDC-4907-BC84-AB4B537F63A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onnées sources" sheetId="1" r:id="rId1"/>
    <sheet name="Exposition et recommandation" sheetId="2" r:id="rId2"/>
    <sheet name="Focus CMT 1000 MXOF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12" i="1"/>
  <c r="F13" i="1"/>
  <c r="F14" i="1"/>
  <c r="E14" i="1"/>
  <c r="B14" i="1"/>
  <c r="B15" i="1" s="1"/>
  <c r="D12" i="1"/>
  <c r="C13" i="1"/>
  <c r="C12" i="1"/>
  <c r="E12" i="1"/>
  <c r="E13" i="1"/>
  <c r="B13" i="1"/>
  <c r="B12" i="1"/>
  <c r="C9" i="1"/>
  <c r="D9" i="1"/>
  <c r="E9" i="1"/>
  <c r="B9" i="1"/>
  <c r="H43" i="3"/>
  <c r="G43" i="3"/>
  <c r="F43" i="3"/>
  <c r="B40" i="3"/>
  <c r="H37" i="3"/>
  <c r="G37" i="3"/>
  <c r="F37" i="3"/>
  <c r="E37" i="3"/>
  <c r="D37" i="3"/>
  <c r="H36" i="3"/>
  <c r="G36" i="3"/>
  <c r="F36" i="3"/>
  <c r="E36" i="3"/>
  <c r="D36" i="3"/>
  <c r="C36" i="3"/>
  <c r="H28" i="3"/>
  <c r="G28" i="3"/>
  <c r="F28" i="3"/>
  <c r="H26" i="3"/>
  <c r="H29" i="3" s="1"/>
  <c r="H30" i="3" s="1"/>
  <c r="G26" i="3"/>
  <c r="G29" i="3" s="1"/>
  <c r="G30" i="3" s="1"/>
  <c r="F26" i="3"/>
  <c r="F29" i="3" s="1"/>
  <c r="F30" i="3" s="1"/>
  <c r="D25" i="3"/>
  <c r="C25" i="3"/>
  <c r="B25" i="3"/>
  <c r="E21" i="3"/>
  <c r="D21" i="3"/>
  <c r="C21" i="3"/>
  <c r="B21" i="3"/>
  <c r="B15" i="3"/>
  <c r="H10" i="3"/>
  <c r="G10" i="3"/>
  <c r="F10" i="3"/>
  <c r="E10" i="3"/>
  <c r="D10" i="3"/>
  <c r="C10" i="3"/>
  <c r="B10" i="3"/>
  <c r="D8" i="3"/>
  <c r="H7" i="3"/>
  <c r="G7" i="3"/>
  <c r="F7" i="3"/>
  <c r="E7" i="3"/>
  <c r="D7" i="3"/>
  <c r="C7" i="3"/>
  <c r="B7" i="3"/>
  <c r="E15" i="2"/>
  <c r="B83" i="1"/>
  <c r="G45" i="1"/>
  <c r="G46" i="1" s="1"/>
  <c r="G48" i="1" s="1"/>
  <c r="F45" i="1"/>
  <c r="F46" i="1" s="1"/>
  <c r="F48" i="1" s="1"/>
  <c r="E45" i="1"/>
  <c r="E46" i="1" s="1"/>
  <c r="E48" i="1" s="1"/>
  <c r="D45" i="1"/>
  <c r="D46" i="1" s="1"/>
  <c r="D48" i="1" s="1"/>
  <c r="C45" i="1"/>
  <c r="C46" i="1" s="1"/>
  <c r="C48" i="1" s="1"/>
  <c r="B45" i="1"/>
  <c r="B46" i="1" s="1"/>
  <c r="B48" i="1" s="1"/>
  <c r="D32" i="1"/>
  <c r="C32" i="1"/>
  <c r="B32" i="1"/>
  <c r="D14" i="1"/>
  <c r="C14" i="1"/>
  <c r="C15" i="1" s="1"/>
  <c r="E11" i="3" l="1"/>
  <c r="F11" i="3"/>
  <c r="B11" i="3"/>
  <c r="C15" i="3"/>
  <c r="E25" i="3"/>
  <c r="D13" i="1"/>
  <c r="D15" i="1"/>
  <c r="D15" i="3"/>
  <c r="D16" i="3" s="1"/>
  <c r="E15" i="3"/>
  <c r="F15" i="3"/>
  <c r="G15" i="3"/>
  <c r="G16" i="3"/>
  <c r="H15" i="3"/>
  <c r="H16" i="3" s="1"/>
  <c r="D38" i="3"/>
  <c r="D40" i="3" s="1"/>
  <c r="D42" i="3" s="1"/>
  <c r="D43" i="3" s="1"/>
  <c r="E38" i="3"/>
  <c r="E40" i="3" s="1"/>
  <c r="E42" i="3" s="1"/>
  <c r="E43" i="3" s="1"/>
  <c r="D28" i="3"/>
  <c r="C28" i="3"/>
  <c r="B16" i="3"/>
  <c r="C11" i="3"/>
  <c r="B28" i="3"/>
  <c r="C26" i="3"/>
  <c r="C29" i="3" s="1"/>
  <c r="D26" i="3"/>
  <c r="D29" i="3" s="1"/>
  <c r="E26" i="3"/>
  <c r="E29" i="3" s="1"/>
  <c r="H11" i="3"/>
  <c r="G38" i="3"/>
  <c r="D11" i="3"/>
  <c r="H38" i="3"/>
  <c r="H40" i="3" s="1"/>
  <c r="H42" i="3" s="1"/>
  <c r="E28" i="3"/>
  <c r="G11" i="3"/>
  <c r="B42" i="3"/>
  <c r="B43" i="3" s="1"/>
  <c r="G39" i="3"/>
  <c r="F39" i="3"/>
  <c r="D39" i="3"/>
  <c r="B39" i="3"/>
  <c r="H39" i="3"/>
  <c r="E39" i="3"/>
  <c r="C39" i="3"/>
  <c r="B26" i="3"/>
  <c r="B29" i="3" s="1"/>
  <c r="B30" i="3" s="1"/>
  <c r="C16" i="3"/>
  <c r="F38" i="3"/>
  <c r="E16" i="3"/>
  <c r="F16" i="3"/>
  <c r="C38" i="3"/>
  <c r="D30" i="3" l="1"/>
  <c r="G40" i="3"/>
  <c r="G42" i="3" s="1"/>
  <c r="C30" i="3"/>
  <c r="E30" i="3"/>
  <c r="F40" i="3"/>
  <c r="F42" i="3" s="1"/>
  <c r="C40" i="3"/>
  <c r="C42" i="3" s="1"/>
  <c r="C43" i="3" s="1"/>
</calcChain>
</file>

<file path=xl/sharedStrings.xml><?xml version="1.0" encoding="utf-8"?>
<sst xmlns="http://schemas.openxmlformats.org/spreadsheetml/2006/main" count="176" uniqueCount="149">
  <si>
    <t>ADVANS CI — Données sources transcrites des documents transmis</t>
  </si>
  <si>
    <t>⚠ Toutes les valeurs de cette feuille sont des INPUTS (bleu) transcrits tels quels des captures d'écran fournies. Elles proviennent de DEUX documents distincts (voir origine indiquée pour chaque table).</t>
  </si>
  <si>
    <t>TABLE A — Modalités de remboursement proposées (document 'ancienne demande', p.21)</t>
  </si>
  <si>
    <t>En KXOF</t>
  </si>
  <si>
    <t>2024</t>
  </si>
  <si>
    <t>2025</t>
  </si>
  <si>
    <t>2026</t>
  </si>
  <si>
    <t>2027</t>
  </si>
  <si>
    <t>Coût du risque</t>
  </si>
  <si>
    <t>RN</t>
  </si>
  <si>
    <t>Cash-flow</t>
  </si>
  <si>
    <t>Cash-flow net</t>
  </si>
  <si>
    <t>Couverture de la dette (donnée telle quelle)</t>
  </si>
  <si>
    <t>Contrôle — Cash-flow recalculé (Coût du risque + RN)</t>
  </si>
  <si>
    <t>Écart vs Cash-flow tel que fourni par le client (doit être 0)</t>
  </si>
  <si>
    <t>⚠ POINT MÉTHODOLOGIQUE MAJEUR : le document source intitule lui-même ce tableau « récapitulatif des remboursements EN CAPITAL » — les INTÉRÊTS ne sont PAS inclus dans « Amortissement de dettes » ni dans le ratio « Couverture de la dette » ci-dessus (1,10x/1,05x/1,82x/7,89x). Un vrai ratio de couverture du service de la dette (DSCR) doit intégrer capital + intérêts. Les ratios affichés surestiment donc la couverture réelle. Le calendrier des intérêts par ligne n'est pas disponible dans les documents transmis — à obtenir impérativement du chargé d'affaires avant de valider la soutenabilité du dossier.</t>
  </si>
  <si>
    <t>Note : ce tableau date d'une précédente demande de CMT. Le RN 2024 projeté ici (2 773 281) est ~40% supérieur au RN 2024 réellement audité (1 657 371) — fiabilité à prendre avec prudence.</t>
  </si>
  <si>
    <t>TABLE B — Récapitulatif des remboursements en capital par bailleur (document 'ancienne demande', p.21)</t>
  </si>
  <si>
    <t>BACI</t>
  </si>
  <si>
    <t>NSIA BANQUE</t>
  </si>
  <si>
    <t>BLUEOCHARD</t>
  </si>
  <si>
    <t>SANAD</t>
  </si>
  <si>
    <t>BICICI</t>
  </si>
  <si>
    <t>BIO 1</t>
  </si>
  <si>
    <t>BIO 2</t>
  </si>
  <si>
    <t>BIO 3</t>
  </si>
  <si>
    <t>Nouveau Crédit SG</t>
  </si>
  <si>
    <t>TOTAL</t>
  </si>
  <si>
    <t>TABLE C — Encours de dépôts et remboursements par ligne (document 'FOCUS CMT à/h de 1 000 MXOF', p.2)</t>
  </si>
  <si>
    <t>En MXOF</t>
  </si>
  <si>
    <t>2028</t>
  </si>
  <si>
    <t>2029</t>
  </si>
  <si>
    <t>2030</t>
  </si>
  <si>
    <t>Encours de dépôts</t>
  </si>
  <si>
    <t>Remboursement BlueOrchard</t>
  </si>
  <si>
    <t>Remboursement CDC</t>
  </si>
  <si>
    <t>Remboursement Grameen</t>
  </si>
  <si>
    <t>Remboursement IDH</t>
  </si>
  <si>
    <t>Remboursement BACI</t>
  </si>
  <si>
    <t>Remboursement SANAD</t>
  </si>
  <si>
    <t>Remboursement SGCI 1 (CMT existant 2 500 MXOF)</t>
  </si>
  <si>
    <t>Remboursement SGCI 2 (nouveau CMT 1 000 MXOF)</t>
  </si>
  <si>
    <t>Total remboursements (formule)</t>
  </si>
  <si>
    <t>Résiduel (Encours dépôts − Total remboursements)</t>
  </si>
  <si>
    <t>Total tel qu'affiché par le client (contrôle)</t>
  </si>
  <si>
    <t>Écart (doit être proche de 0 — sinon vérifier la transcription)</t>
  </si>
  <si>
    <t>Note : SGCI 1 = ligne CMT SGCI existante (2 500 MXOF/36 mois, mise en place 2025, 9 échéances restantes jusqu'au 15/07/2028). SGCI 2 = nouvelle ligne CMT 1 000 MXOF objet de la présente demande.</t>
  </si>
  <si>
    <t>TABLE D — Synthèse financière consolidée Advans CI (document 'recommandation ADVANCE', p.4-5)</t>
  </si>
  <si>
    <t>⚠ CETTE TABLE NE COUVRE QUE 2023-2024-2025 (données réelles/auditées). Advans CI n'a communiqué AUCUNE donnée réelle pour 2026 et 2027 — les chiffres 2026/2027 de la Table A (cash-flow, amortissement) proviennent d'une PROJECTION antérieure non vérifiée, pas de données observées. À traiter avec prudence (voir avertissement onglet Focus).</t>
  </si>
  <si>
    <t>En MXOF / %</t>
  </si>
  <si>
    <t>%Δ 24/23</t>
  </si>
  <si>
    <t>%Δ 25/24</t>
  </si>
  <si>
    <t>Total Bilan</t>
  </si>
  <si>
    <t>Portefeuille brut de crédit</t>
  </si>
  <si>
    <t>Fonds propres et assimilés</t>
  </si>
  <si>
    <t>Dettes envers institutions financières</t>
  </si>
  <si>
    <t>Produit Net Bancaire (PNB)</t>
  </si>
  <si>
    <t>Coût net du risque (CNR)</t>
  </si>
  <si>
    <t>Résultat net</t>
  </si>
  <si>
    <t>Portefeuille net de crédit / Total Bilan</t>
  </si>
  <si>
    <t>Fonds propres et assimilés / Total Bilan</t>
  </si>
  <si>
    <t>Dettes financières / Total Bilan</t>
  </si>
  <si>
    <t>Coût du risque / Portefeuille brut de crédit</t>
  </si>
  <si>
    <t>Ratio d'abandon de créances</t>
  </si>
  <si>
    <t>Coefficient d'exploitation</t>
  </si>
  <si>
    <t>Résultat net / PNB</t>
  </si>
  <si>
    <t>Rentabilité des actifs</t>
  </si>
  <si>
    <t>Note : le ratio d'abandon de créances 2025 (-33,64%) est une anomalie déjà identifiée (probable erreur de formule dans le fichier source Advans CI) — à ne pas exploiter tel quel.</t>
  </si>
  <si>
    <t>Note BCEAO (document 'recommandation ADVANCE') : « le niveau des PAR est dépassé mais dans une faible amplitude » — détail du tableau PAR non visible sur la capture transmise, à obtenir du chargé d'affaires.</t>
  </si>
  <si>
    <t>TABLE E — Estimation du taux d'intérêt implicite sur la dette institutionnelle (calcul justificatif)</t>
  </si>
  <si>
    <t>Méthode : taux implicite = Intérêts payés (compte de résultat audité, poste « Intérêts sur comptes d'emprunts ») ÷ Encours moyen d'emprunts institutionnels (bilan audité). Ce taux moyen (tous bailleurs) est ensuite appliqué à l'encours SGCI pour estimer sa charge d'intérêt spécifique — approximation raisonnable en l'absence de taux contractuel communiqué par ligne.</t>
  </si>
  <si>
    <t>Intérêts sur comptes d'emprunts (audité, P&amp;L)</t>
  </si>
  <si>
    <t>Encours comptes d'emprunts fin d'exercice (audité, bilan)</t>
  </si>
  <si>
    <t>Taux implicite (2024 = Intérêts/moyenne encours ; 2023 = Intérêts/encours fin, moins robuste faute de solde N-2)</t>
  </si>
  <si>
    <t>Taux annuel retenu pour l'estimation (moyenne 2023-2024, modifiable si donnée réelle obtenue)</t>
  </si>
  <si>
    <t>⚠ Ce taux est une APPROXIMATION à l'échelle du portefeuille global d'emprunts Advans CI, pas un taux contractuel SGCI. Il sert de base raisonnable en l'absence d'échéancier d'intérêts par ligne — à remplacer par le taux réel dès qu'il est communiqué par le chargé d'affaires.</t>
  </si>
  <si>
    <t>ADVANS CI — Tableau d'exposition et recommandation au 14/07/2026</t>
  </si>
  <si>
    <t>Note NOVA DE/DL : 6/6+ sur base des EF 2023, valide jusqu'au 19/03/2026 puis prorogée au 19/06/2026.</t>
  </si>
  <si>
    <t>⚠ Notation expirée depuis le 19/06/2026 — à faire renouveler avant présentation en comité (aujourd'hui : 14/07/2026, soit ~1 mois de retard).</t>
  </si>
  <si>
    <t>Note calculée (7+/7+) ≠ projet DCE (6-/6-) ≠ recommandation retenue (7/7, plus prudente, motivée par des « difficultés dans l'utilisation des lignes »).</t>
  </si>
  <si>
    <t>⚠ Contradiction à lever : le focus détaillé sur l'usage des lignes (12 derniers mois) décrit un usage propre et sans incident — à confronter avec le motif invoqué pour la note 7/7.</t>
  </si>
  <si>
    <t>TABLEAU D'EXPOSITION (En Millions XOF)</t>
  </si>
  <si>
    <t>Ligne</t>
  </si>
  <si>
    <t>Engmts au 14/07/2026</t>
  </si>
  <si>
    <t>Précédentes Aut.</t>
  </si>
  <si>
    <t>Échéance</t>
  </si>
  <si>
    <t>Aut. Sollicitées</t>
  </si>
  <si>
    <t>Recommandation (Montant)</t>
  </si>
  <si>
    <t>Maturité/DAV</t>
  </si>
  <si>
    <t>Découvert</t>
  </si>
  <si>
    <t>Sc : 2 490</t>
  </si>
  <si>
    <t>31/10/2026</t>
  </si>
  <si>
    <t>12 mois</t>
  </si>
  <si>
    <t>Spot</t>
  </si>
  <si>
    <t>-</t>
  </si>
  <si>
    <t>3 mois</t>
  </si>
  <si>
    <t>Cautions diverses</t>
  </si>
  <si>
    <t>CMT 1 (montant initial : 2 500)</t>
  </si>
  <si>
    <t>15/07/2028</t>
  </si>
  <si>
    <t>Échéance le 15/07/2028</t>
  </si>
  <si>
    <t>NEW CMT</t>
  </si>
  <si>
    <t>36 mois</t>
  </si>
  <si>
    <t>TOTAL Aut. Sollicitées (formule)</t>
  </si>
  <si>
    <t>Contrôle — doit reconstituer 5 125 MXOF (valeur client)</t>
  </si>
  <si>
    <t>Total exposition client (donnée client, incl. Sc découvert 2 490)</t>
  </si>
  <si>
    <t>Encours réel CMT 1 au 14/07/2026 (donnée client, remplace la reconstitution par formule de l'onglet Focus)</t>
  </si>
  <si>
    <t>Capital déjà amorti = 2 500 − 1 385 = 1 115 MXOF, soit 44,6% du montant initial en ~1 an.</t>
  </si>
  <si>
    <t>FOCUS — Demande de CMT à hauteur de 1 000 MXOF (ADVANS CI)</t>
  </si>
  <si>
    <t>Toutes les cellules noires sont des formules liées à l'onglet 'Données sources'. Cellules jaunes = à compléter par le chargé d'affaires.</t>
  </si>
  <si>
    <t>1. Décomposition des lignes SGCI</t>
  </si>
  <si>
    <t>SGCI 1 — CMT existant, amortissement (2 500 MXOF, 2025)</t>
  </si>
  <si>
    <t>Encours réel CMT 1 au 14/07/2026 (donnée client — cf. onglet 'Exposition et recommandation')</t>
  </si>
  <si>
    <t>Écart vs amortissement cumulé reconstitué à date (contrôle de cohérence, doit être proche) : capital initial 2 500 − encours 1 385 = 1 115 amorti à date.</t>
  </si>
  <si>
    <t>SGCI 2 — Nouveau CMT (1 000 MXOF, demande en cours)</t>
  </si>
  <si>
    <t>Total service de dette SGCI (SGCI 1 + SGCI 2)</t>
  </si>
  <si>
    <t>2. Poids de la nouvelle ligne dans le sous-ensemble de bailleurs suivi (Table C)</t>
  </si>
  <si>
    <t>Note : ce calcul porte sur le périmètre partiel de la Table C (BlueOrchard, CDC, Grameen, IDH, BACI, SANAD, SGCI) — il ne représente pas le poids dans la dette institutionnelle totale (voir section 3 pour la couverture globale correcte).</t>
  </si>
  <si>
    <t>Total remboursements toutes lignes (Table C)</t>
  </si>
  <si>
    <t>Poids de SGCI 2 (nouvelle ligne) dans le total</t>
  </si>
  <si>
    <t>3. Couverture de la dette globale — CAPITAL SEUL (voir 3bis pour le DSCR réel avec intérêts)</t>
  </si>
  <si>
    <t>⚠ Point méthodologique : la Table C (BlueOrchard, CDC, Grameen, IDH, BACI, SANAD, SGCI) ne couvre qu'un sous-ensemble partiel des bailleurs. Le dénominateur retenu ci-dessous est l'amortissement TOTAL de la dette institutionnelle (Table A/B, qui inclut aussi NSIA, BICICI, BIO 1-3), auquel on ajoute la nouvelle ligne SGCI 2 — c'est le périmètre correct pour un ratio de couverture globale.</t>
  </si>
  <si>
    <t>Cash-flow disponible = Coût du risque + RN — converti en MXOF (formule)</t>
  </si>
  <si>
    <t>Contrôle — doit reconstituer 4 290 / 4 818 / 5 060 / 5 060 MXOF (Cash-flow tel que fourni par le client, Table A).</t>
  </si>
  <si>
    <t>⚠ AUCUNE VISIBILITÉ RÉELLE sur 2026 et 2027 : Advans CI n'a communiqué de données financières auditées/observées que jusqu'à 2025 (cf. Table D, onglet Données sources). Les valeurs 2026-2027 ci-dessus (orange) sont une PROJECTION issue d'un document de demande CMT antérieur, non recoupée avec des données réelles — à traiter comme indicative uniquement, pas comme un engagement de résultat.</t>
  </si>
  <si>
    <t>Amortissement dette totale existante — CAPITAL uniquement, hors intérêts (converti en MXOF)</t>
  </si>
  <si>
    <t>Amortissement total (capital) AVEC la nouvelle ligne (+ SGCI 2)</t>
  </si>
  <si>
    <t>Couverture CAPITAL SEUL, sans la nouvelle ligne (Cash-flow / Amortissement capital)</t>
  </si>
  <si>
    <t>Couverture CAPITAL SEUL, AVEC la nouvelle ligne (Cash-flow / Amortissement capital total)</t>
  </si>
  <si>
    <t>Impact de la nouvelle ligne sur la couverture capital seul (points)</t>
  </si>
  <si>
    <t>Contrôle — Couverture 'sans' doit reconstituer 1,10 / 1,05 / 1,82 / 7,89 (valeurs Table A telles que fournies par le client)</t>
  </si>
  <si>
    <t>3bis. Couverture réelle du service de la dette (DSCR) — capital + intérêts ESTIMÉS</t>
  </si>
  <si>
    <t>Méthode : les intérêts par ligne SGCI ne sont pas communiqués. On les ESTIME en appliquant le taux d'intérêt implicite d'Advans CI (Table E, calculé à partir de son compte de résultat et bilan AUDITÉS : intérêts payés ÷ encours moyen d'emprunts institutionnels, tous bailleurs) à l'encours moyen SGCI reconstitué à partir de l'échéancier de capital réel (Table C). Cellules oranges = estimation justifiée, à remplacer par un taux contractuel réel dès qu'il est communiqué.</t>
  </si>
  <si>
    <t>Encours CMT SGCI 1 fin d'année (2 500 MXOF initial − cumul capital remboursé)</t>
  </si>
  <si>
    <t>Encours CMT SGCI 2 fin d'année (1 000 MXOF initial − cumul capital remboursé)</t>
  </si>
  <si>
    <t>Encours moyen SGCI (base de calcul des intérêts, capital initial le 1er exercice de tirage)</t>
  </si>
  <si>
    <t>Taux d'intérêt implicite retenu (Table E, moyenne 2023-2024 sur dette institutionnelle Advans CI)</t>
  </si>
  <si>
    <t>Intérêts estimés SGCI (Encours moyen × Taux implicite)</t>
  </si>
  <si>
    <t>Service de la dette total SGCI estimé (capital SGCI 1+2 + intérêts estimés) — formule</t>
  </si>
  <si>
    <t>DSCR estimé, exposition SGCI seule (Cash-flow total Advans CI / Service de la dette SGCI, capital + intérêts estimés)</t>
  </si>
  <si>
    <t>Note : ce DSCR porte spécifiquement sur l'exposition SGCI (capital + intérêts estimés des 2 lignes CMT), rapportée au cash-flow TOTAL d'Advans CI — un angle complémentaire à la couverture globale de la section 3 (qui porte sur l'ensemble de la dette institutionnelle, capital seul).</t>
  </si>
  <si>
    <t>4. Repères et lecture</t>
  </si>
  <si>
    <t>• INTÉRÊTS ESTIMÉS, PAS RÉELS : la section 3 (couverture capital seul) reste optimiste par construction. La section 3bis comble ce trou avec une ESTIMATION justifiée (taux implicite Advans CI × encours moyen SGCI), mais ce n'est pas un taux contractuel — à remplacer dès que le chargé d'affaires communique le taux réel des lignes SGCI.</t>
  </si>
  <si>
    <t>• AUCUNE VISIBILITÉ RÉELLE sur 2026-2027 : les seules données financières réelles/auditées d'Advans CI couvrent 2023-2025 (Table D). Les cellules orange (Cash-flow, Amortissement 2026-2027 en section 3) sont une projection non vérifiée d'un document antérieur — à confirmer avec le chargé d'affaires.</t>
  </si>
  <si>
    <t>• Couverture de dette 2024-2025 déjà tendue (1,10x / 1,05x capital seul, cf. Table A) avant même l'ajout de la nouvelle ligne SGCI 2 — marge de sécurité faible, et ce sans compter les intérêts.</t>
  </si>
  <si>
    <t>• L'amortissement SGCI 2 n'est pas linéaire : il monte à 556 MXOF en 2027-2028 avant de redescendre à 232 en 2029 — profil à faire confirmer (différé initial ?).</t>
  </si>
  <si>
    <t>• Le RN 2024 utilisé dans le Cash-flow (Table A, 2 773 281 KXOF) est ~40% supérieur au RN 2024 réellement audité (1 657 371 KXOF, cf. Table D) — la fiabilité de cette projection est donc déjà mise en doute par un écart avéré, y compris sur l'année où elle est vérifiable.</t>
  </si>
  <si>
    <t>• Ratios 2028-2030 (section 3, capital) non calculables faute de projection de cash-flow/amortissement global — cellules jaunes à compléter par le chargé d'affaires. La section 3bis (SGCI seul) reste calculable jusqu'en 2029 grâce à l'échéancier de capital réel de la Table C, mais sans cash-flow 2028-2029 le DSCR y affichera également '-'.</t>
  </si>
  <si>
    <t xml:space="preserve">Amortissement des précédentes dettes </t>
  </si>
  <si>
    <t>Amortissement Nouvelle dette SGCI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</si>
</sst>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\x"/>
    <numFmt numFmtId="166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C0000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color rgb="FF808080"/>
      <name val="Arial"/>
      <charset val="1"/>
    </font>
    <font>
      <sz val="10"/>
      <color rgb="FF000000"/>
      <name val="Arial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B2E83"/>
        <bgColor rgb="FF333333"/>
      </patternFill>
    </fill>
    <fill>
      <patternFill patternType="solid">
        <fgColor rgb="FFD9D9D9"/>
        <bgColor rgb="FFEDE7F6"/>
      </patternFill>
    </fill>
    <fill>
      <patternFill patternType="solid">
        <fgColor rgb="FFEDE7F6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4" borderId="1" xfId="0" applyFont="1" applyFill="1" applyBorder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/>
    <xf numFmtId="164" fontId="8" fillId="0" borderId="1" xfId="0" applyNumberFormat="1" applyFont="1" applyBorder="1"/>
    <xf numFmtId="0" fontId="3" fillId="4" borderId="1" xfId="0" applyFont="1" applyFill="1" applyBorder="1"/>
    <xf numFmtId="164" fontId="8" fillId="4" borderId="1" xfId="0" applyNumberFormat="1" applyFont="1" applyFill="1" applyBorder="1"/>
    <xf numFmtId="0" fontId="3" fillId="0" borderId="1" xfId="0" applyFont="1" applyBorder="1"/>
    <xf numFmtId="0" fontId="5" fillId="0" borderId="0" xfId="0" applyFont="1"/>
    <xf numFmtId="166" fontId="6" fillId="0" borderId="1" xfId="0" applyNumberFormat="1" applyFont="1" applyBorder="1"/>
    <xf numFmtId="166" fontId="8" fillId="0" borderId="1" xfId="0" applyNumberFormat="1" applyFont="1" applyBorder="1"/>
    <xf numFmtId="0" fontId="6" fillId="0" borderId="1" xfId="0" applyFont="1" applyBorder="1"/>
    <xf numFmtId="164" fontId="8" fillId="5" borderId="1" xfId="0" applyNumberFormat="1" applyFont="1" applyFill="1" applyBorder="1"/>
    <xf numFmtId="164" fontId="5" fillId="6" borderId="1" xfId="0" applyNumberFormat="1" applyFont="1" applyFill="1" applyBorder="1"/>
    <xf numFmtId="165" fontId="8" fillId="0" borderId="1" xfId="0" applyNumberFormat="1" applyFont="1" applyBorder="1"/>
    <xf numFmtId="165" fontId="8" fillId="4" borderId="1" xfId="0" applyNumberFormat="1" applyFont="1" applyFill="1" applyBorder="1"/>
    <xf numFmtId="164" fontId="5" fillId="0" borderId="1" xfId="0" applyNumberFormat="1" applyFont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7F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4B2E8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zoomScaleNormal="10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B23" sqref="B23:B30"/>
    </sheetView>
  </sheetViews>
  <sheetFormatPr baseColWidth="10" defaultColWidth="8.6640625" defaultRowHeight="14.4" x14ac:dyDescent="0.3"/>
  <cols>
    <col min="1" max="1" width="37.44140625" customWidth="1"/>
    <col min="2" max="2" width="16.109375" customWidth="1"/>
    <col min="3" max="3" width="12.5546875" customWidth="1"/>
    <col min="4" max="7" width="12" customWidth="1"/>
  </cols>
  <sheetData>
    <row r="1" spans="1:7" ht="24" customHeight="1" x14ac:dyDescent="0.3">
      <c r="A1" s="8" t="s">
        <v>0</v>
      </c>
      <c r="B1" s="8"/>
      <c r="C1" s="8"/>
      <c r="D1" s="8"/>
      <c r="E1" s="8"/>
      <c r="F1" s="8"/>
      <c r="G1" s="8"/>
    </row>
    <row r="3" spans="1:7" x14ac:dyDescent="0.3">
      <c r="A3" s="7" t="s">
        <v>1</v>
      </c>
      <c r="B3" s="7"/>
      <c r="C3" s="7"/>
      <c r="D3" s="7"/>
      <c r="E3" s="7"/>
      <c r="F3" s="7"/>
      <c r="G3" s="7"/>
    </row>
    <row r="5" spans="1:7" x14ac:dyDescent="0.3">
      <c r="A5" s="6" t="s">
        <v>2</v>
      </c>
      <c r="B5" s="6"/>
      <c r="C5" s="6"/>
      <c r="D5" s="6"/>
      <c r="E5" s="6"/>
      <c r="F5" s="6"/>
      <c r="G5" s="6"/>
    </row>
    <row r="6" spans="1:7" x14ac:dyDescent="0.3">
      <c r="A6" s="9" t="s">
        <v>29</v>
      </c>
      <c r="B6" s="9" t="s">
        <v>5</v>
      </c>
      <c r="C6" s="9">
        <v>2026</v>
      </c>
      <c r="D6" s="9" t="s">
        <v>7</v>
      </c>
      <c r="E6" s="9" t="s">
        <v>30</v>
      </c>
      <c r="F6" s="9" t="s">
        <v>31</v>
      </c>
    </row>
    <row r="7" spans="1:7" x14ac:dyDescent="0.3">
      <c r="A7" s="10" t="s">
        <v>8</v>
      </c>
      <c r="B7" s="11">
        <v>3776</v>
      </c>
      <c r="C7" s="11">
        <v>2539</v>
      </c>
      <c r="D7" s="11">
        <v>2539</v>
      </c>
      <c r="E7" s="11">
        <v>2539</v>
      </c>
      <c r="F7" s="11">
        <v>2539</v>
      </c>
    </row>
    <row r="8" spans="1:7" x14ac:dyDescent="0.3">
      <c r="A8" s="10" t="s">
        <v>9</v>
      </c>
      <c r="B8" s="11">
        <v>1570</v>
      </c>
      <c r="C8" s="11">
        <v>1570</v>
      </c>
      <c r="D8" s="11">
        <v>1570</v>
      </c>
      <c r="E8" s="11">
        <v>1570</v>
      </c>
      <c r="F8" s="11">
        <v>1570</v>
      </c>
    </row>
    <row r="9" spans="1:7" x14ac:dyDescent="0.3">
      <c r="A9" s="10" t="s">
        <v>10</v>
      </c>
      <c r="B9" s="11">
        <f>B7+B8</f>
        <v>5346</v>
      </c>
      <c r="C9" s="11">
        <f t="shared" ref="C9:F9" si="0">C7+C8</f>
        <v>4109</v>
      </c>
      <c r="D9" s="11">
        <f t="shared" si="0"/>
        <v>4109</v>
      </c>
      <c r="E9" s="11">
        <f t="shared" si="0"/>
        <v>4109</v>
      </c>
      <c r="F9" s="11">
        <f t="shared" si="0"/>
        <v>4109</v>
      </c>
    </row>
    <row r="10" spans="1:7" x14ac:dyDescent="0.3">
      <c r="A10" s="10" t="s">
        <v>148</v>
      </c>
      <c r="B10" s="11"/>
      <c r="C10" s="11">
        <v>152</v>
      </c>
      <c r="D10" s="11">
        <v>321</v>
      </c>
      <c r="E10" s="11">
        <v>344</v>
      </c>
      <c r="F10" s="11">
        <v>181</v>
      </c>
    </row>
    <row r="11" spans="1:7" x14ac:dyDescent="0.3">
      <c r="A11" s="10" t="s">
        <v>147</v>
      </c>
      <c r="B11" s="11">
        <v>3301</v>
      </c>
      <c r="C11" s="11">
        <v>3268</v>
      </c>
      <c r="D11" s="11">
        <v>2370</v>
      </c>
      <c r="E11" s="11">
        <v>3674</v>
      </c>
      <c r="F11" s="11">
        <v>2585</v>
      </c>
    </row>
    <row r="12" spans="1:7" x14ac:dyDescent="0.3">
      <c r="A12" s="10" t="s">
        <v>11</v>
      </c>
      <c r="B12" s="11">
        <f>B9-(B10+B11)</f>
        <v>2045</v>
      </c>
      <c r="C12" s="11">
        <f t="shared" ref="C12:F12" si="1">C9-(C10+C11)</f>
        <v>689</v>
      </c>
      <c r="D12" s="11">
        <f t="shared" si="1"/>
        <v>1418</v>
      </c>
      <c r="E12" s="11">
        <f t="shared" si="1"/>
        <v>91</v>
      </c>
      <c r="F12" s="11">
        <f t="shared" si="1"/>
        <v>1343</v>
      </c>
    </row>
    <row r="13" spans="1:7" x14ac:dyDescent="0.3">
      <c r="A13" s="10" t="s">
        <v>12</v>
      </c>
      <c r="B13" s="12">
        <f>B9/(B10+B11)</f>
        <v>1.6195092396243562</v>
      </c>
      <c r="C13" s="12">
        <f>C9/(C10+C11)</f>
        <v>1.2014619883040936</v>
      </c>
      <c r="D13" s="12">
        <f t="shared" ref="D13:E13" si="2">D9/(D10+D11)</f>
        <v>1.5269416573764401</v>
      </c>
      <c r="E13" s="12">
        <f t="shared" si="2"/>
        <v>1.0226480836236933</v>
      </c>
      <c r="F13" s="12">
        <f t="shared" ref="F13" si="3">F9/(F10+F11)</f>
        <v>1.4855386840202458</v>
      </c>
    </row>
    <row r="14" spans="1:7" x14ac:dyDescent="0.3">
      <c r="A14" s="13" t="s">
        <v>13</v>
      </c>
      <c r="B14" s="14">
        <f>B7+B8</f>
        <v>5346</v>
      </c>
      <c r="C14" s="14">
        <f>C7+C8</f>
        <v>4109</v>
      </c>
      <c r="D14" s="14">
        <f>D7+D8</f>
        <v>4109</v>
      </c>
      <c r="E14" s="14">
        <f>E7+E8</f>
        <v>4109</v>
      </c>
      <c r="F14" s="14">
        <f>F7+F8</f>
        <v>4109</v>
      </c>
    </row>
    <row r="15" spans="1:7" x14ac:dyDescent="0.3">
      <c r="A15" s="13" t="s">
        <v>14</v>
      </c>
      <c r="B15" s="14">
        <f>B14-B9</f>
        <v>0</v>
      </c>
      <c r="C15" s="14">
        <f>C14-C9</f>
        <v>0</v>
      </c>
      <c r="D15" s="14">
        <f>D14-D9</f>
        <v>0</v>
      </c>
    </row>
    <row r="17" spans="1:7" ht="42" customHeight="1" x14ac:dyDescent="0.3">
      <c r="A17" s="5" t="s">
        <v>15</v>
      </c>
      <c r="B17" s="5"/>
      <c r="C17" s="5"/>
      <c r="D17" s="5"/>
      <c r="E17" s="5"/>
      <c r="F17" s="5"/>
      <c r="G17" s="5"/>
    </row>
    <row r="18" spans="1:7" x14ac:dyDescent="0.3">
      <c r="A18" s="7" t="s">
        <v>16</v>
      </c>
      <c r="B18" s="7"/>
      <c r="C18" s="7"/>
      <c r="D18" s="7"/>
      <c r="E18" s="7"/>
      <c r="F18" s="7"/>
      <c r="G18" s="7"/>
    </row>
    <row r="21" spans="1:7" x14ac:dyDescent="0.3">
      <c r="A21" s="6" t="s">
        <v>17</v>
      </c>
      <c r="B21" s="6"/>
      <c r="C21" s="6"/>
      <c r="D21" s="6"/>
      <c r="E21" s="6"/>
      <c r="F21" s="6"/>
      <c r="G21" s="6"/>
    </row>
    <row r="22" spans="1:7" x14ac:dyDescent="0.3">
      <c r="A22" s="9" t="s">
        <v>3</v>
      </c>
      <c r="B22" s="9" t="s">
        <v>5</v>
      </c>
      <c r="C22" s="9" t="s">
        <v>6</v>
      </c>
      <c r="D22" s="9" t="s">
        <v>7</v>
      </c>
    </row>
    <row r="23" spans="1:7" x14ac:dyDescent="0.3">
      <c r="A23" s="10" t="s">
        <v>18</v>
      </c>
      <c r="B23" s="11">
        <v>532449</v>
      </c>
      <c r="C23" s="11"/>
      <c r="D23" s="11"/>
    </row>
    <row r="24" spans="1:7" x14ac:dyDescent="0.3">
      <c r="A24" s="10" t="s">
        <v>19</v>
      </c>
      <c r="B24" s="11">
        <v>457662</v>
      </c>
      <c r="C24" s="11"/>
      <c r="D24" s="11"/>
    </row>
    <row r="25" spans="1:7" x14ac:dyDescent="0.3">
      <c r="A25" s="10" t="s">
        <v>20</v>
      </c>
      <c r="B25" s="11">
        <v>819946</v>
      </c>
      <c r="C25" s="11">
        <v>819946</v>
      </c>
      <c r="D25" s="11"/>
    </row>
    <row r="26" spans="1:7" x14ac:dyDescent="0.3">
      <c r="A26" s="10" t="s">
        <v>21</v>
      </c>
      <c r="B26" s="11">
        <v>787148</v>
      </c>
      <c r="C26" s="11">
        <v>787148</v>
      </c>
      <c r="D26" s="11"/>
    </row>
    <row r="27" spans="1:7" x14ac:dyDescent="0.3">
      <c r="A27" s="10" t="s">
        <v>22</v>
      </c>
      <c r="B27" s="11">
        <v>532512</v>
      </c>
      <c r="C27" s="11"/>
      <c r="D27" s="11"/>
    </row>
    <row r="28" spans="1:7" x14ac:dyDescent="0.3">
      <c r="A28" s="10" t="s">
        <v>23</v>
      </c>
      <c r="B28" s="11">
        <v>218652</v>
      </c>
      <c r="C28" s="11">
        <v>109326</v>
      </c>
      <c r="D28" s="11"/>
    </row>
    <row r="29" spans="1:7" x14ac:dyDescent="0.3">
      <c r="A29" s="10" t="s">
        <v>24</v>
      </c>
      <c r="B29" s="11">
        <v>153056</v>
      </c>
      <c r="C29" s="11">
        <v>76528</v>
      </c>
      <c r="D29" s="11"/>
    </row>
    <row r="30" spans="1:7" x14ac:dyDescent="0.3">
      <c r="A30" s="10" t="s">
        <v>25</v>
      </c>
      <c r="B30" s="11">
        <v>284248</v>
      </c>
      <c r="C30" s="11">
        <v>142124</v>
      </c>
      <c r="D30" s="11"/>
    </row>
    <row r="31" spans="1:7" x14ac:dyDescent="0.3">
      <c r="A31" s="10" t="s">
        <v>26</v>
      </c>
      <c r="B31" s="11">
        <v>818771</v>
      </c>
      <c r="C31" s="11">
        <v>838043</v>
      </c>
      <c r="D31" s="11">
        <v>641452</v>
      </c>
    </row>
    <row r="32" spans="1:7" x14ac:dyDescent="0.3">
      <c r="A32" s="15" t="s">
        <v>27</v>
      </c>
      <c r="B32" s="16">
        <f>SUM(B23:B31)</f>
        <v>4604444</v>
      </c>
      <c r="C32" s="16">
        <f>SUM(C23:C31)</f>
        <v>2773115</v>
      </c>
      <c r="D32" s="16">
        <f>SUM(D23:D31)</f>
        <v>641452</v>
      </c>
    </row>
    <row r="34" spans="1:7" x14ac:dyDescent="0.3">
      <c r="A34" s="6" t="s">
        <v>28</v>
      </c>
      <c r="B34" s="6"/>
      <c r="C34" s="6"/>
      <c r="D34" s="6"/>
      <c r="E34" s="6"/>
      <c r="F34" s="6"/>
      <c r="G34" s="6"/>
    </row>
    <row r="35" spans="1:7" x14ac:dyDescent="0.3">
      <c r="A35" s="9" t="s">
        <v>29</v>
      </c>
      <c r="B35" s="9" t="s">
        <v>5</v>
      </c>
      <c r="C35" s="9" t="s">
        <v>6</v>
      </c>
      <c r="D35" s="9" t="s">
        <v>7</v>
      </c>
      <c r="E35" s="9" t="s">
        <v>30</v>
      </c>
      <c r="F35" s="9" t="s">
        <v>31</v>
      </c>
      <c r="G35" s="9" t="s">
        <v>32</v>
      </c>
    </row>
    <row r="36" spans="1:7" x14ac:dyDescent="0.3">
      <c r="A36" s="10" t="s">
        <v>33</v>
      </c>
      <c r="B36" s="11">
        <v>86000</v>
      </c>
      <c r="C36" s="11">
        <v>86000</v>
      </c>
      <c r="D36" s="11">
        <v>86000</v>
      </c>
      <c r="E36" s="11">
        <v>86000</v>
      </c>
      <c r="F36" s="11">
        <v>86000</v>
      </c>
      <c r="G36" s="11">
        <v>86000</v>
      </c>
    </row>
    <row r="37" spans="1:7" x14ac:dyDescent="0.3">
      <c r="A37" s="10" t="s">
        <v>34</v>
      </c>
      <c r="B37" s="11">
        <v>978</v>
      </c>
      <c r="C37" s="11">
        <v>79</v>
      </c>
      <c r="D37" s="11">
        <v>79</v>
      </c>
      <c r="E37" s="11">
        <v>859</v>
      </c>
      <c r="F37" s="11"/>
      <c r="G37" s="11"/>
    </row>
    <row r="38" spans="1:7" x14ac:dyDescent="0.3">
      <c r="A38" s="10" t="s">
        <v>35</v>
      </c>
      <c r="B38" s="11">
        <v>67</v>
      </c>
      <c r="C38" s="11">
        <v>135</v>
      </c>
      <c r="D38" s="11">
        <v>135</v>
      </c>
      <c r="E38" s="11">
        <v>481</v>
      </c>
      <c r="F38" s="11">
        <v>828</v>
      </c>
      <c r="G38" s="11">
        <v>414</v>
      </c>
    </row>
    <row r="39" spans="1:7" x14ac:dyDescent="0.3">
      <c r="A39" s="10" t="s">
        <v>36</v>
      </c>
      <c r="B39" s="11">
        <v>158</v>
      </c>
      <c r="C39" s="11">
        <v>172</v>
      </c>
      <c r="D39" s="11">
        <v>172</v>
      </c>
      <c r="E39" s="11">
        <v>970</v>
      </c>
      <c r="F39" s="11">
        <v>885</v>
      </c>
      <c r="G39" s="11"/>
    </row>
    <row r="40" spans="1:7" x14ac:dyDescent="0.3">
      <c r="A40" s="10" t="s">
        <v>37</v>
      </c>
      <c r="B40" s="11">
        <v>136</v>
      </c>
      <c r="C40" s="11">
        <v>136</v>
      </c>
      <c r="D40" s="11">
        <v>136</v>
      </c>
      <c r="E40" s="11">
        <v>136</v>
      </c>
      <c r="F40" s="11">
        <v>136</v>
      </c>
      <c r="G40" s="11">
        <v>164</v>
      </c>
    </row>
    <row r="41" spans="1:7" x14ac:dyDescent="0.3">
      <c r="A41" s="10" t="s">
        <v>38</v>
      </c>
      <c r="B41" s="11">
        <v>923</v>
      </c>
      <c r="C41" s="11">
        <v>923</v>
      </c>
      <c r="D41" s="11">
        <v>620</v>
      </c>
      <c r="E41" s="11"/>
      <c r="F41" s="11"/>
      <c r="G41" s="11"/>
    </row>
    <row r="42" spans="1:7" x14ac:dyDescent="0.3">
      <c r="A42" s="10" t="s">
        <v>39</v>
      </c>
      <c r="B42" s="11">
        <v>881</v>
      </c>
      <c r="C42" s="11">
        <v>827</v>
      </c>
      <c r="D42" s="11"/>
      <c r="E42" s="11"/>
      <c r="F42" s="11"/>
      <c r="G42" s="11"/>
    </row>
    <row r="43" spans="1:7" x14ac:dyDescent="0.3">
      <c r="A43" s="10" t="s">
        <v>40</v>
      </c>
      <c r="B43" s="11">
        <v>158</v>
      </c>
      <c r="C43" s="11">
        <v>672</v>
      </c>
      <c r="D43" s="11">
        <v>672</v>
      </c>
      <c r="E43" s="11">
        <v>672</v>
      </c>
      <c r="F43" s="11">
        <v>504</v>
      </c>
      <c r="G43" s="11"/>
    </row>
    <row r="44" spans="1:7" x14ac:dyDescent="0.3">
      <c r="A44" s="10" t="s">
        <v>41</v>
      </c>
      <c r="B44" s="11"/>
      <c r="C44" s="11">
        <v>324</v>
      </c>
      <c r="D44" s="11">
        <v>556</v>
      </c>
      <c r="E44" s="11">
        <v>556</v>
      </c>
      <c r="F44" s="11">
        <v>232</v>
      </c>
      <c r="G44" s="11"/>
    </row>
    <row r="45" spans="1:7" x14ac:dyDescent="0.3">
      <c r="A45" s="15" t="s">
        <v>42</v>
      </c>
      <c r="B45" s="16">
        <f t="shared" ref="B45:G45" si="4">SUM(B37:B44)</f>
        <v>3301</v>
      </c>
      <c r="C45" s="16">
        <f t="shared" si="4"/>
        <v>3268</v>
      </c>
      <c r="D45" s="16">
        <f t="shared" si="4"/>
        <v>2370</v>
      </c>
      <c r="E45" s="16">
        <f t="shared" si="4"/>
        <v>3674</v>
      </c>
      <c r="F45" s="16">
        <f t="shared" si="4"/>
        <v>2585</v>
      </c>
      <c r="G45" s="16">
        <f t="shared" si="4"/>
        <v>578</v>
      </c>
    </row>
    <row r="46" spans="1:7" x14ac:dyDescent="0.3">
      <c r="A46" s="17" t="s">
        <v>43</v>
      </c>
      <c r="B46" s="14">
        <f t="shared" ref="B46:G46" si="5">B36-B45</f>
        <v>82699</v>
      </c>
      <c r="C46" s="14">
        <f t="shared" si="5"/>
        <v>82732</v>
      </c>
      <c r="D46" s="14">
        <f t="shared" si="5"/>
        <v>83630</v>
      </c>
      <c r="E46" s="14">
        <f t="shared" si="5"/>
        <v>82326</v>
      </c>
      <c r="F46" s="14">
        <f t="shared" si="5"/>
        <v>83415</v>
      </c>
      <c r="G46" s="14">
        <f t="shared" si="5"/>
        <v>85422</v>
      </c>
    </row>
    <row r="47" spans="1:7" x14ac:dyDescent="0.3">
      <c r="A47" s="18" t="s">
        <v>44</v>
      </c>
      <c r="B47" s="11">
        <v>82699</v>
      </c>
      <c r="C47" s="11">
        <v>82732</v>
      </c>
      <c r="D47" s="11">
        <v>83630</v>
      </c>
      <c r="E47" s="11">
        <v>82326</v>
      </c>
      <c r="F47" s="11">
        <v>83415</v>
      </c>
      <c r="G47" s="11">
        <v>85422</v>
      </c>
    </row>
    <row r="48" spans="1:7" x14ac:dyDescent="0.3">
      <c r="A48" s="13" t="s">
        <v>45</v>
      </c>
      <c r="B48" s="14">
        <f t="shared" ref="B48:G48" si="6">B46-B47</f>
        <v>0</v>
      </c>
      <c r="C48" s="14">
        <f t="shared" si="6"/>
        <v>0</v>
      </c>
      <c r="D48" s="14">
        <f t="shared" si="6"/>
        <v>0</v>
      </c>
      <c r="E48" s="14">
        <f t="shared" si="6"/>
        <v>0</v>
      </c>
      <c r="F48" s="14">
        <f t="shared" si="6"/>
        <v>0</v>
      </c>
      <c r="G48" s="14">
        <f t="shared" si="6"/>
        <v>0</v>
      </c>
    </row>
    <row r="50" spans="1:7" x14ac:dyDescent="0.3">
      <c r="A50" s="7" t="s">
        <v>46</v>
      </c>
      <c r="B50" s="7"/>
      <c r="C50" s="7"/>
      <c r="D50" s="7"/>
      <c r="E50" s="7"/>
      <c r="F50" s="7"/>
      <c r="G50" s="7"/>
    </row>
    <row r="53" spans="1:7" x14ac:dyDescent="0.3">
      <c r="A53" s="6" t="s">
        <v>47</v>
      </c>
      <c r="B53" s="6"/>
      <c r="C53" s="6"/>
      <c r="D53" s="6"/>
      <c r="E53" s="6"/>
      <c r="F53" s="6"/>
      <c r="G53" s="6"/>
    </row>
    <row r="54" spans="1:7" ht="27.75" customHeight="1" x14ac:dyDescent="0.3">
      <c r="A54" s="5" t="s">
        <v>48</v>
      </c>
      <c r="B54" s="5"/>
      <c r="C54" s="5"/>
      <c r="D54" s="5"/>
      <c r="E54" s="5"/>
      <c r="F54" s="5"/>
      <c r="G54" s="5"/>
    </row>
    <row r="56" spans="1:7" x14ac:dyDescent="0.3">
      <c r="A56" s="9" t="s">
        <v>49</v>
      </c>
      <c r="B56" s="9" t="s">
        <v>4</v>
      </c>
      <c r="C56" s="9" t="s">
        <v>50</v>
      </c>
      <c r="D56" s="9" t="s">
        <v>5</v>
      </c>
      <c r="E56" s="9" t="s">
        <v>51</v>
      </c>
    </row>
    <row r="57" spans="1:7" x14ac:dyDescent="0.3">
      <c r="A57" s="10" t="s">
        <v>52</v>
      </c>
      <c r="B57" s="11">
        <v>104562</v>
      </c>
      <c r="C57" s="19">
        <v>0.06</v>
      </c>
      <c r="D57" s="11">
        <v>115944</v>
      </c>
      <c r="E57" s="19">
        <v>0.11</v>
      </c>
    </row>
    <row r="58" spans="1:7" x14ac:dyDescent="0.3">
      <c r="A58" s="10" t="s">
        <v>53</v>
      </c>
      <c r="B58" s="11">
        <v>90789</v>
      </c>
      <c r="C58" s="19">
        <v>0.05</v>
      </c>
      <c r="D58" s="11">
        <v>100063</v>
      </c>
      <c r="E58" s="19">
        <v>0.1</v>
      </c>
    </row>
    <row r="59" spans="1:7" x14ac:dyDescent="0.3">
      <c r="A59" s="10" t="s">
        <v>54</v>
      </c>
      <c r="B59" s="11">
        <v>19213</v>
      </c>
      <c r="C59" s="19">
        <v>7.0000000000000007E-2</v>
      </c>
      <c r="D59" s="11">
        <v>19980</v>
      </c>
      <c r="E59" s="19">
        <v>0.04</v>
      </c>
    </row>
    <row r="60" spans="1:7" x14ac:dyDescent="0.3">
      <c r="A60" s="10" t="s">
        <v>55</v>
      </c>
      <c r="B60" s="11">
        <v>6384</v>
      </c>
      <c r="C60" s="19">
        <v>0.05</v>
      </c>
      <c r="D60" s="11">
        <v>5731</v>
      </c>
      <c r="E60" s="19">
        <v>-0.1</v>
      </c>
    </row>
    <row r="61" spans="1:7" x14ac:dyDescent="0.3">
      <c r="A61" s="10" t="s">
        <v>56</v>
      </c>
      <c r="B61" s="11">
        <v>15186</v>
      </c>
      <c r="C61" s="19">
        <v>0.06</v>
      </c>
      <c r="D61" s="11">
        <v>16822</v>
      </c>
      <c r="E61" s="19">
        <v>0.11</v>
      </c>
    </row>
    <row r="62" spans="1:7" x14ac:dyDescent="0.3">
      <c r="A62" s="10" t="s">
        <v>57</v>
      </c>
      <c r="B62" s="11">
        <v>2772</v>
      </c>
      <c r="C62" s="19">
        <v>0.25</v>
      </c>
      <c r="D62" s="11">
        <v>3776</v>
      </c>
      <c r="E62" s="19">
        <v>0.36</v>
      </c>
    </row>
    <row r="63" spans="1:7" x14ac:dyDescent="0.3">
      <c r="A63" s="10" t="s">
        <v>58</v>
      </c>
      <c r="B63" s="11">
        <v>1657</v>
      </c>
      <c r="C63" s="19">
        <v>-0.28999999999999998</v>
      </c>
      <c r="D63" s="11">
        <v>1570</v>
      </c>
      <c r="E63" s="19">
        <v>-0.05</v>
      </c>
    </row>
    <row r="64" spans="1:7" x14ac:dyDescent="0.3">
      <c r="A64" s="10" t="s">
        <v>59</v>
      </c>
      <c r="B64" s="19">
        <v>0.87</v>
      </c>
      <c r="C64" s="19">
        <v>-0.01</v>
      </c>
      <c r="D64" s="19">
        <v>0.86</v>
      </c>
      <c r="E64" s="19">
        <v>-0.01</v>
      </c>
    </row>
    <row r="65" spans="1:7" x14ac:dyDescent="0.3">
      <c r="A65" s="10" t="s">
        <v>60</v>
      </c>
      <c r="B65" s="19">
        <v>0.18</v>
      </c>
      <c r="C65" s="19">
        <v>0.01</v>
      </c>
      <c r="D65" s="19">
        <v>0.17</v>
      </c>
      <c r="E65" s="19">
        <v>-0.06</v>
      </c>
    </row>
    <row r="66" spans="1:7" x14ac:dyDescent="0.3">
      <c r="A66" s="10" t="s">
        <v>61</v>
      </c>
      <c r="B66" s="19">
        <v>0.06</v>
      </c>
      <c r="C66" s="19">
        <v>-0.01</v>
      </c>
      <c r="D66" s="19">
        <v>0.05</v>
      </c>
      <c r="E66" s="19">
        <v>-0.19</v>
      </c>
    </row>
    <row r="67" spans="1:7" x14ac:dyDescent="0.3">
      <c r="A67" s="10" t="s">
        <v>62</v>
      </c>
      <c r="B67" s="19">
        <v>3.0499999999999999E-2</v>
      </c>
      <c r="C67" s="19">
        <v>0.18</v>
      </c>
      <c r="D67" s="19">
        <v>3.7699999999999997E-2</v>
      </c>
      <c r="E67" s="19">
        <v>0.24</v>
      </c>
    </row>
    <row r="68" spans="1:7" x14ac:dyDescent="0.3">
      <c r="A68" s="10" t="s">
        <v>63</v>
      </c>
      <c r="B68" s="19">
        <v>0.02</v>
      </c>
      <c r="C68" s="19">
        <v>-0.18</v>
      </c>
      <c r="D68" s="19">
        <v>-0.33639999999999998</v>
      </c>
      <c r="E68" s="19">
        <v>-22.37</v>
      </c>
    </row>
    <row r="69" spans="1:7" x14ac:dyDescent="0.3">
      <c r="A69" s="10" t="s">
        <v>64</v>
      </c>
      <c r="B69" s="19">
        <v>0.72</v>
      </c>
      <c r="C69" s="19">
        <v>0.01</v>
      </c>
      <c r="D69" s="19">
        <v>0.7</v>
      </c>
      <c r="E69" s="19">
        <v>-0.02</v>
      </c>
    </row>
    <row r="70" spans="1:7" x14ac:dyDescent="0.3">
      <c r="A70" s="10" t="s">
        <v>65</v>
      </c>
      <c r="B70" s="19">
        <v>0.11</v>
      </c>
      <c r="C70" s="19">
        <v>-0.33</v>
      </c>
      <c r="D70" s="19">
        <v>0.09</v>
      </c>
      <c r="E70" s="19">
        <v>-0.14000000000000001</v>
      </c>
    </row>
    <row r="71" spans="1:7" x14ac:dyDescent="0.3">
      <c r="A71" s="10" t="s">
        <v>66</v>
      </c>
      <c r="B71" s="19">
        <v>0.09</v>
      </c>
      <c r="C71" s="19">
        <v>-0.32</v>
      </c>
      <c r="D71" s="19">
        <v>0.08</v>
      </c>
      <c r="E71" s="19">
        <v>-0.1</v>
      </c>
    </row>
    <row r="73" spans="1:7" x14ac:dyDescent="0.3">
      <c r="A73" s="7" t="s">
        <v>67</v>
      </c>
      <c r="B73" s="7"/>
      <c r="C73" s="7"/>
      <c r="D73" s="7"/>
      <c r="E73" s="7"/>
      <c r="F73" s="7"/>
      <c r="G73" s="7"/>
    </row>
    <row r="74" spans="1:7" x14ac:dyDescent="0.3">
      <c r="A74" s="7" t="s">
        <v>68</v>
      </c>
      <c r="B74" s="7"/>
      <c r="C74" s="7"/>
      <c r="D74" s="7"/>
      <c r="E74" s="7"/>
      <c r="F74" s="7"/>
      <c r="G74" s="7"/>
    </row>
    <row r="77" spans="1:7" x14ac:dyDescent="0.3">
      <c r="A77" s="6" t="s">
        <v>69</v>
      </c>
      <c r="B77" s="6"/>
      <c r="C77" s="6"/>
      <c r="D77" s="6"/>
      <c r="E77" s="6"/>
    </row>
    <row r="78" spans="1:7" ht="27.75" customHeight="1" x14ac:dyDescent="0.3">
      <c r="A78" s="4" t="s">
        <v>70</v>
      </c>
      <c r="B78" s="4"/>
      <c r="C78" s="4"/>
      <c r="D78" s="4"/>
      <c r="E78" s="4"/>
    </row>
    <row r="80" spans="1:7" x14ac:dyDescent="0.3">
      <c r="A80" s="9" t="s">
        <v>29</v>
      </c>
      <c r="B80" s="9" t="s">
        <v>4</v>
      </c>
    </row>
    <row r="81" spans="1:5" x14ac:dyDescent="0.3">
      <c r="A81" s="10" t="s">
        <v>71</v>
      </c>
      <c r="B81" s="11">
        <v>747.52664300000004</v>
      </c>
    </row>
    <row r="82" spans="1:5" x14ac:dyDescent="0.3">
      <c r="A82" s="10" t="s">
        <v>72</v>
      </c>
      <c r="B82" s="11">
        <v>6341.8027259999999</v>
      </c>
    </row>
    <row r="83" spans="1:5" x14ac:dyDescent="0.3">
      <c r="A83" s="10" t="s">
        <v>73</v>
      </c>
      <c r="B83" s="20">
        <f>B81/AVERAGE(B82:B82)</f>
        <v>0.11787289439567472</v>
      </c>
    </row>
    <row r="84" spans="1:5" x14ac:dyDescent="0.3">
      <c r="A84" s="15" t="s">
        <v>74</v>
      </c>
    </row>
    <row r="86" spans="1:5" x14ac:dyDescent="0.3">
      <c r="A86" s="7" t="s">
        <v>75</v>
      </c>
      <c r="B86" s="7"/>
      <c r="C86" s="7"/>
      <c r="D86" s="7"/>
      <c r="E86" s="7"/>
    </row>
  </sheetData>
  <mergeCells count="15">
    <mergeCell ref="A73:G73"/>
    <mergeCell ref="A74:G74"/>
    <mergeCell ref="A77:E77"/>
    <mergeCell ref="A78:E78"/>
    <mergeCell ref="A86:E86"/>
    <mergeCell ref="A21:G21"/>
    <mergeCell ref="A34:G34"/>
    <mergeCell ref="A50:G50"/>
    <mergeCell ref="A53:G53"/>
    <mergeCell ref="A54:G54"/>
    <mergeCell ref="A1:G1"/>
    <mergeCell ref="A3:G3"/>
    <mergeCell ref="A5:G5"/>
    <mergeCell ref="A17:G17"/>
    <mergeCell ref="A18:G18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26" customWidth="1"/>
    <col min="2" max="2" width="16" customWidth="1"/>
    <col min="3" max="3" width="14" customWidth="1"/>
    <col min="4" max="6" width="13" customWidth="1"/>
    <col min="7" max="7" width="15" customWidth="1"/>
  </cols>
  <sheetData>
    <row r="1" spans="1:7" ht="24" customHeight="1" x14ac:dyDescent="0.3">
      <c r="A1" s="8" t="s">
        <v>76</v>
      </c>
      <c r="B1" s="8"/>
      <c r="C1" s="8"/>
      <c r="D1" s="8"/>
      <c r="E1" s="8"/>
      <c r="F1" s="8"/>
      <c r="G1" s="8"/>
    </row>
    <row r="3" spans="1:7" x14ac:dyDescent="0.3">
      <c r="A3" s="7" t="s">
        <v>77</v>
      </c>
      <c r="B3" s="7"/>
      <c r="C3" s="7"/>
      <c r="D3" s="7"/>
      <c r="E3" s="7"/>
      <c r="F3" s="7"/>
      <c r="G3" s="7"/>
    </row>
    <row r="4" spans="1:7" x14ac:dyDescent="0.3">
      <c r="A4" s="7" t="s">
        <v>78</v>
      </c>
      <c r="B4" s="7"/>
      <c r="C4" s="7"/>
      <c r="D4" s="7"/>
      <c r="E4" s="7"/>
      <c r="F4" s="7"/>
      <c r="G4" s="7"/>
    </row>
    <row r="5" spans="1:7" x14ac:dyDescent="0.3">
      <c r="A5" s="7" t="s">
        <v>79</v>
      </c>
      <c r="B5" s="7"/>
      <c r="C5" s="7"/>
      <c r="D5" s="7"/>
      <c r="E5" s="7"/>
      <c r="F5" s="7"/>
      <c r="G5" s="7"/>
    </row>
    <row r="6" spans="1:7" x14ac:dyDescent="0.3">
      <c r="A6" s="7" t="s">
        <v>80</v>
      </c>
      <c r="B6" s="7"/>
      <c r="C6" s="7"/>
      <c r="D6" s="7"/>
      <c r="E6" s="7"/>
      <c r="F6" s="7"/>
      <c r="G6" s="7"/>
    </row>
    <row r="8" spans="1:7" x14ac:dyDescent="0.3">
      <c r="A8" s="6" t="s">
        <v>81</v>
      </c>
      <c r="B8" s="6"/>
      <c r="C8" s="6"/>
      <c r="D8" s="6"/>
      <c r="E8" s="6"/>
      <c r="F8" s="6"/>
      <c r="G8" s="6"/>
    </row>
    <row r="9" spans="1:7" ht="39.6" x14ac:dyDescent="0.3">
      <c r="A9" s="9" t="s">
        <v>82</v>
      </c>
      <c r="B9" s="9" t="s">
        <v>83</v>
      </c>
      <c r="C9" s="9" t="s">
        <v>84</v>
      </c>
      <c r="D9" s="9" t="s">
        <v>85</v>
      </c>
      <c r="E9" s="9" t="s">
        <v>86</v>
      </c>
      <c r="F9" s="9" t="s">
        <v>87</v>
      </c>
      <c r="G9" s="9" t="s">
        <v>88</v>
      </c>
    </row>
    <row r="10" spans="1:7" x14ac:dyDescent="0.3">
      <c r="A10" s="10" t="s">
        <v>89</v>
      </c>
      <c r="B10" s="21" t="s">
        <v>90</v>
      </c>
      <c r="C10" s="11">
        <v>600</v>
      </c>
      <c r="D10" s="21" t="s">
        <v>91</v>
      </c>
      <c r="E10" s="11">
        <v>600</v>
      </c>
      <c r="F10" s="11">
        <v>600</v>
      </c>
      <c r="G10" s="21" t="s">
        <v>92</v>
      </c>
    </row>
    <row r="11" spans="1:7" x14ac:dyDescent="0.3">
      <c r="A11" s="10" t="s">
        <v>93</v>
      </c>
      <c r="B11" s="10" t="s">
        <v>94</v>
      </c>
      <c r="C11" s="11">
        <v>1000</v>
      </c>
      <c r="D11" s="21" t="s">
        <v>91</v>
      </c>
      <c r="E11" s="11">
        <v>3500</v>
      </c>
      <c r="F11" s="11">
        <v>3500</v>
      </c>
      <c r="G11" s="21" t="s">
        <v>95</v>
      </c>
    </row>
    <row r="12" spans="1:7" x14ac:dyDescent="0.3">
      <c r="A12" s="10" t="s">
        <v>96</v>
      </c>
      <c r="B12" s="11">
        <v>25</v>
      </c>
      <c r="C12" s="11">
        <v>25</v>
      </c>
      <c r="D12" s="21"/>
      <c r="E12" s="11">
        <v>25</v>
      </c>
      <c r="F12" s="11">
        <v>25</v>
      </c>
      <c r="G12" s="21" t="s">
        <v>92</v>
      </c>
    </row>
    <row r="13" spans="1:7" x14ac:dyDescent="0.3">
      <c r="A13" s="10" t="s">
        <v>97</v>
      </c>
      <c r="B13" s="11">
        <v>1385</v>
      </c>
      <c r="C13" s="11">
        <v>1385</v>
      </c>
      <c r="D13" s="21" t="s">
        <v>98</v>
      </c>
      <c r="E13" s="21"/>
      <c r="F13" s="21"/>
      <c r="G13" s="21" t="s">
        <v>99</v>
      </c>
    </row>
    <row r="14" spans="1:7" x14ac:dyDescent="0.3">
      <c r="A14" s="10" t="s">
        <v>100</v>
      </c>
      <c r="B14" s="10" t="s">
        <v>94</v>
      </c>
      <c r="C14" s="10" t="s">
        <v>94</v>
      </c>
      <c r="D14" s="21"/>
      <c r="E14" s="11">
        <v>1000</v>
      </c>
      <c r="F14" s="11">
        <v>1000</v>
      </c>
      <c r="G14" s="21" t="s">
        <v>101</v>
      </c>
    </row>
    <row r="15" spans="1:7" x14ac:dyDescent="0.3">
      <c r="A15" s="15" t="s">
        <v>102</v>
      </c>
      <c r="E15" s="16">
        <f>SUM(E10:E14)</f>
        <v>5125</v>
      </c>
    </row>
    <row r="16" spans="1:7" x14ac:dyDescent="0.3">
      <c r="A16" s="3" t="s">
        <v>103</v>
      </c>
      <c r="B16" s="3"/>
      <c r="C16" s="3"/>
      <c r="D16" s="3"/>
      <c r="E16" s="3"/>
      <c r="F16" s="3"/>
      <c r="G16" s="3"/>
    </row>
    <row r="18" spans="1:7" x14ac:dyDescent="0.3">
      <c r="A18" s="17" t="s">
        <v>104</v>
      </c>
      <c r="B18" s="11">
        <v>6510</v>
      </c>
    </row>
    <row r="20" spans="1:7" x14ac:dyDescent="0.3">
      <c r="A20" s="2" t="s">
        <v>105</v>
      </c>
      <c r="B20" s="2"/>
      <c r="C20" s="2"/>
      <c r="D20" s="2"/>
      <c r="E20" s="2"/>
      <c r="F20" s="11">
        <v>1385</v>
      </c>
    </row>
    <row r="21" spans="1:7" x14ac:dyDescent="0.3">
      <c r="A21" s="3" t="s">
        <v>106</v>
      </c>
      <c r="B21" s="3"/>
      <c r="C21" s="3"/>
      <c r="D21" s="3"/>
      <c r="E21" s="3"/>
      <c r="F21" s="3"/>
      <c r="G21" s="3"/>
    </row>
  </sheetData>
  <mergeCells count="9">
    <mergeCell ref="A8:G8"/>
    <mergeCell ref="A16:G16"/>
    <mergeCell ref="A20:E20"/>
    <mergeCell ref="A21:G21"/>
    <mergeCell ref="A1:G1"/>
    <mergeCell ref="A3:G3"/>
    <mergeCell ref="A4:G4"/>
    <mergeCell ref="A5:G5"/>
    <mergeCell ref="A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zoomScaleNormal="100" workbookViewId="0">
      <pane xSplit="1" ySplit="4" topLeftCell="B15" activePane="bottomRight" state="frozen"/>
      <selection pane="topRight" activeCell="B1" sqref="B1"/>
      <selection pane="bottomLeft" activeCell="A5" sqref="A5"/>
      <selection pane="bottomRight" sqref="A1:H1"/>
    </sheetView>
  </sheetViews>
  <sheetFormatPr baseColWidth="10" defaultColWidth="8.6640625" defaultRowHeight="14.4" x14ac:dyDescent="0.3"/>
  <cols>
    <col min="1" max="1" width="34" customWidth="1"/>
    <col min="2" max="8" width="13" customWidth="1"/>
  </cols>
  <sheetData>
    <row r="1" spans="1:8" ht="24" customHeight="1" x14ac:dyDescent="0.3"/>
    <row r="2" spans="1:8" ht="17.399999999999999" x14ac:dyDescent="0.3">
      <c r="A2" s="8" t="s">
        <v>107</v>
      </c>
      <c r="B2" s="8"/>
      <c r="C2" s="8"/>
      <c r="D2" s="8"/>
      <c r="E2" s="8"/>
      <c r="F2" s="8"/>
      <c r="G2" s="8"/>
      <c r="H2" s="8"/>
    </row>
    <row r="3" spans="1:8" x14ac:dyDescent="0.3">
      <c r="A3" s="3" t="s">
        <v>108</v>
      </c>
      <c r="B3" s="3"/>
      <c r="C3" s="3"/>
      <c r="D3" s="3"/>
      <c r="E3" s="3"/>
      <c r="F3" s="3"/>
      <c r="G3" s="3"/>
      <c r="H3" s="3"/>
    </row>
    <row r="5" spans="1:8" x14ac:dyDescent="0.3">
      <c r="A5" s="9" t="s">
        <v>29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30</v>
      </c>
      <c r="G5" s="9" t="s">
        <v>31</v>
      </c>
      <c r="H5" s="9" t="s">
        <v>32</v>
      </c>
    </row>
    <row r="6" spans="1:8" x14ac:dyDescent="0.3">
      <c r="A6" s="6" t="s">
        <v>109</v>
      </c>
      <c r="B6" s="6"/>
      <c r="C6" s="6"/>
      <c r="D6" s="6"/>
      <c r="E6" s="6"/>
      <c r="F6" s="6"/>
      <c r="G6" s="6"/>
      <c r="H6" s="6"/>
    </row>
    <row r="7" spans="1:8" x14ac:dyDescent="0.3">
      <c r="A7" s="10" t="s">
        <v>110</v>
      </c>
      <c r="B7" s="14" t="e">
        <f>'Données sources'!#REF!</f>
        <v>#REF!</v>
      </c>
      <c r="C7" s="14">
        <f>'Données sources'!B43</f>
        <v>158</v>
      </c>
      <c r="D7" s="14">
        <f>'Données sources'!C43</f>
        <v>672</v>
      </c>
      <c r="E7" s="14">
        <f>'Données sources'!D43</f>
        <v>672</v>
      </c>
      <c r="F7" s="14">
        <f>'Données sources'!E43</f>
        <v>672</v>
      </c>
      <c r="G7" s="14">
        <f>'Données sources'!F43</f>
        <v>504</v>
      </c>
      <c r="H7" s="14">
        <f>'Données sources'!G43</f>
        <v>0</v>
      </c>
    </row>
    <row r="8" spans="1:8" x14ac:dyDescent="0.3">
      <c r="A8" s="1" t="s">
        <v>111</v>
      </c>
      <c r="B8" s="1"/>
      <c r="C8" s="1"/>
      <c r="D8" s="16">
        <f>'Exposition et recommandation'!F20</f>
        <v>1385</v>
      </c>
    </row>
    <row r="9" spans="1:8" x14ac:dyDescent="0.3">
      <c r="A9" s="3" t="s">
        <v>112</v>
      </c>
      <c r="B9" s="3"/>
      <c r="C9" s="3"/>
      <c r="D9" s="3"/>
      <c r="E9" s="3"/>
      <c r="F9" s="3"/>
      <c r="G9" s="3"/>
      <c r="H9" s="3"/>
    </row>
    <row r="10" spans="1:8" x14ac:dyDescent="0.3">
      <c r="A10" s="10" t="s">
        <v>113</v>
      </c>
      <c r="B10" s="14" t="e">
        <f>'Données sources'!#REF!</f>
        <v>#REF!</v>
      </c>
      <c r="C10" s="14">
        <f>'Données sources'!B44</f>
        <v>0</v>
      </c>
      <c r="D10" s="14">
        <f>'Données sources'!C44</f>
        <v>324</v>
      </c>
      <c r="E10" s="14">
        <f>'Données sources'!D44</f>
        <v>556</v>
      </c>
      <c r="F10" s="14">
        <f>'Données sources'!E44</f>
        <v>556</v>
      </c>
      <c r="G10" s="14">
        <f>'Données sources'!F44</f>
        <v>232</v>
      </c>
      <c r="H10" s="14">
        <f>'Données sources'!G44</f>
        <v>0</v>
      </c>
    </row>
    <row r="11" spans="1:8" x14ac:dyDescent="0.3">
      <c r="A11" s="15" t="s">
        <v>114</v>
      </c>
      <c r="B11" s="16" t="e">
        <f t="shared" ref="B11:H11" si="0">B7+B10</f>
        <v>#REF!</v>
      </c>
      <c r="C11" s="16">
        <f t="shared" si="0"/>
        <v>158</v>
      </c>
      <c r="D11" s="16">
        <f t="shared" si="0"/>
        <v>996</v>
      </c>
      <c r="E11" s="16">
        <f t="shared" si="0"/>
        <v>1228</v>
      </c>
      <c r="F11" s="16">
        <f t="shared" si="0"/>
        <v>1228</v>
      </c>
      <c r="G11" s="16">
        <f t="shared" si="0"/>
        <v>736</v>
      </c>
      <c r="H11" s="16">
        <f t="shared" si="0"/>
        <v>0</v>
      </c>
    </row>
    <row r="13" spans="1:8" x14ac:dyDescent="0.3">
      <c r="A13" s="6" t="s">
        <v>115</v>
      </c>
      <c r="B13" s="6"/>
      <c r="C13" s="6"/>
      <c r="D13" s="6"/>
      <c r="E13" s="6"/>
      <c r="F13" s="6"/>
      <c r="G13" s="6"/>
      <c r="H13" s="6"/>
    </row>
    <row r="14" spans="1:8" x14ac:dyDescent="0.3">
      <c r="A14" s="3" t="s">
        <v>116</v>
      </c>
      <c r="B14" s="3"/>
      <c r="C14" s="3"/>
      <c r="D14" s="3"/>
      <c r="E14" s="3"/>
      <c r="F14" s="3"/>
      <c r="G14" s="3"/>
      <c r="H14" s="3"/>
    </row>
    <row r="15" spans="1:8" x14ac:dyDescent="0.3">
      <c r="A15" s="10" t="s">
        <v>117</v>
      </c>
      <c r="B15" s="14" t="e">
        <f>'Données sources'!#REF!</f>
        <v>#REF!</v>
      </c>
      <c r="C15" s="14">
        <f>'Données sources'!B45</f>
        <v>3301</v>
      </c>
      <c r="D15" s="14">
        <f>'Données sources'!C45</f>
        <v>3268</v>
      </c>
      <c r="E15" s="14">
        <f>'Données sources'!D45</f>
        <v>2370</v>
      </c>
      <c r="F15" s="14">
        <f>'Données sources'!E45</f>
        <v>3674</v>
      </c>
      <c r="G15" s="14">
        <f>'Données sources'!F45</f>
        <v>2585</v>
      </c>
      <c r="H15" s="14">
        <f>'Données sources'!G45</f>
        <v>578</v>
      </c>
    </row>
    <row r="16" spans="1:8" x14ac:dyDescent="0.3">
      <c r="A16" s="10" t="s">
        <v>118</v>
      </c>
      <c r="B16" s="20" t="str">
        <f t="shared" ref="B16:H16" si="1">IFERROR(B10/B15,"-")</f>
        <v>-</v>
      </c>
      <c r="C16" s="20">
        <f t="shared" si="1"/>
        <v>0</v>
      </c>
      <c r="D16" s="20">
        <f t="shared" si="1"/>
        <v>9.9143206854345162E-2</v>
      </c>
      <c r="E16" s="20">
        <f t="shared" si="1"/>
        <v>0.23459915611814347</v>
      </c>
      <c r="F16" s="20">
        <f t="shared" si="1"/>
        <v>0.15133369624387588</v>
      </c>
      <c r="G16" s="20">
        <f t="shared" si="1"/>
        <v>8.9748549323017401E-2</v>
      </c>
      <c r="H16" s="20">
        <f t="shared" si="1"/>
        <v>0</v>
      </c>
    </row>
    <row r="18" spans="1:8" ht="27.75" customHeight="1" x14ac:dyDescent="0.3">
      <c r="A18" s="6" t="s">
        <v>119</v>
      </c>
      <c r="B18" s="6"/>
      <c r="C18" s="6"/>
      <c r="D18" s="6"/>
      <c r="E18" s="6"/>
      <c r="F18" s="6"/>
      <c r="G18" s="6"/>
      <c r="H18" s="6"/>
    </row>
    <row r="19" spans="1:8" x14ac:dyDescent="0.3">
      <c r="A19" s="5" t="s">
        <v>120</v>
      </c>
      <c r="B19" s="5"/>
      <c r="C19" s="5"/>
      <c r="D19" s="5"/>
      <c r="E19" s="5"/>
      <c r="F19" s="5"/>
      <c r="G19" s="5"/>
      <c r="H19" s="5"/>
    </row>
    <row r="21" spans="1:8" x14ac:dyDescent="0.3">
      <c r="A21" s="10" t="s">
        <v>121</v>
      </c>
      <c r="B21" s="14" t="e">
        <f>('Données sources'!#REF!+'Données sources'!#REF!)/1000</f>
        <v>#REF!</v>
      </c>
      <c r="C21" s="14">
        <f>('Données sources'!B7+'Données sources'!B8)/1000</f>
        <v>5.3460000000000001</v>
      </c>
      <c r="D21" s="22">
        <f>('Données sources'!C7+'Données sources'!C8)/1000</f>
        <v>4.109</v>
      </c>
      <c r="E21" s="22">
        <f>('Données sources'!D7+'Données sources'!D8)/1000</f>
        <v>4.109</v>
      </c>
      <c r="F21" s="23"/>
      <c r="G21" s="23"/>
      <c r="H21" s="23"/>
    </row>
    <row r="22" spans="1:8" ht="27.75" customHeight="1" x14ac:dyDescent="0.3">
      <c r="A22" s="3" t="s">
        <v>122</v>
      </c>
      <c r="B22" s="3"/>
      <c r="C22" s="3"/>
      <c r="D22" s="3"/>
      <c r="E22" s="3"/>
      <c r="F22" s="3"/>
      <c r="G22" s="3"/>
      <c r="H22" s="3"/>
    </row>
    <row r="23" spans="1:8" x14ac:dyDescent="0.3">
      <c r="A23" s="5" t="s">
        <v>123</v>
      </c>
      <c r="B23" s="5"/>
      <c r="C23" s="5"/>
      <c r="D23" s="5"/>
      <c r="E23" s="5"/>
      <c r="F23" s="5"/>
      <c r="G23" s="5"/>
      <c r="H23" s="5"/>
    </row>
    <row r="25" spans="1:8" x14ac:dyDescent="0.3">
      <c r="A25" s="10" t="s">
        <v>124</v>
      </c>
      <c r="B25" s="14" t="e">
        <f>'Données sources'!#REF!/1000</f>
        <v>#REF!</v>
      </c>
      <c r="C25" s="14">
        <f>'Données sources'!B11/1000</f>
        <v>3.3010000000000002</v>
      </c>
      <c r="D25" s="22">
        <f>'Données sources'!C11/1000</f>
        <v>3.2679999999999998</v>
      </c>
      <c r="E25" s="22">
        <f>'Données sources'!D11/1000</f>
        <v>2.37</v>
      </c>
      <c r="F25" s="23"/>
      <c r="G25" s="23"/>
      <c r="H25" s="23"/>
    </row>
    <row r="26" spans="1:8" x14ac:dyDescent="0.3">
      <c r="A26" s="15" t="s">
        <v>125</v>
      </c>
      <c r="B26" s="16" t="e">
        <f t="shared" ref="B26:H26" si="2">IF(B25="","-",B25+B10)</f>
        <v>#REF!</v>
      </c>
      <c r="C26" s="16">
        <f t="shared" si="2"/>
        <v>3.3010000000000002</v>
      </c>
      <c r="D26" s="16">
        <f t="shared" si="2"/>
        <v>327.26799999999997</v>
      </c>
      <c r="E26" s="16">
        <f t="shared" si="2"/>
        <v>558.37</v>
      </c>
      <c r="F26" s="16" t="str">
        <f t="shared" si="2"/>
        <v>-</v>
      </c>
      <c r="G26" s="16" t="str">
        <f t="shared" si="2"/>
        <v>-</v>
      </c>
      <c r="H26" s="16" t="str">
        <f t="shared" si="2"/>
        <v>-</v>
      </c>
    </row>
    <row r="28" spans="1:8" x14ac:dyDescent="0.3">
      <c r="A28" s="10" t="s">
        <v>126</v>
      </c>
      <c r="B28" s="24" t="str">
        <f t="shared" ref="B28:H28" si="3">IFERROR(B21/B25,"-")</f>
        <v>-</v>
      </c>
      <c r="C28" s="24">
        <f t="shared" si="3"/>
        <v>1.6195092396243562</v>
      </c>
      <c r="D28" s="24">
        <f t="shared" si="3"/>
        <v>1.2573439412484702</v>
      </c>
      <c r="E28" s="24">
        <f t="shared" si="3"/>
        <v>1.7337552742616034</v>
      </c>
      <c r="F28" s="24" t="str">
        <f t="shared" si="3"/>
        <v>-</v>
      </c>
      <c r="G28" s="24" t="str">
        <f t="shared" si="3"/>
        <v>-</v>
      </c>
      <c r="H28" s="24" t="str">
        <f t="shared" si="3"/>
        <v>-</v>
      </c>
    </row>
    <row r="29" spans="1:8" x14ac:dyDescent="0.3">
      <c r="A29" s="15" t="s">
        <v>127</v>
      </c>
      <c r="B29" s="25" t="str">
        <f t="shared" ref="B29:H29" si="4">IFERROR(B21/B26,"-")</f>
        <v>-</v>
      </c>
      <c r="C29" s="25">
        <f t="shared" si="4"/>
        <v>1.6195092396243562</v>
      </c>
      <c r="D29" s="25">
        <f t="shared" si="4"/>
        <v>1.2555459134409721E-2</v>
      </c>
      <c r="E29" s="25">
        <f t="shared" si="4"/>
        <v>7.3589197127352833E-3</v>
      </c>
      <c r="F29" s="25" t="str">
        <f t="shared" si="4"/>
        <v>-</v>
      </c>
      <c r="G29" s="25" t="str">
        <f t="shared" si="4"/>
        <v>-</v>
      </c>
      <c r="H29" s="25" t="str">
        <f t="shared" si="4"/>
        <v>-</v>
      </c>
    </row>
    <row r="30" spans="1:8" x14ac:dyDescent="0.3">
      <c r="A30" s="10" t="s">
        <v>128</v>
      </c>
      <c r="B30" s="24" t="str">
        <f t="shared" ref="B30:H30" si="5">IFERROR(B29-B28,"-")</f>
        <v>-</v>
      </c>
      <c r="C30" s="24">
        <f t="shared" si="5"/>
        <v>0</v>
      </c>
      <c r="D30" s="24">
        <f t="shared" si="5"/>
        <v>-1.2447884821140605</v>
      </c>
      <c r="E30" s="24">
        <f t="shared" si="5"/>
        <v>-1.7263963545488681</v>
      </c>
      <c r="F30" s="24" t="str">
        <f t="shared" si="5"/>
        <v>-</v>
      </c>
      <c r="G30" s="24" t="str">
        <f t="shared" si="5"/>
        <v>-</v>
      </c>
      <c r="H30" s="24" t="str">
        <f t="shared" si="5"/>
        <v>-</v>
      </c>
    </row>
    <row r="31" spans="1:8" x14ac:dyDescent="0.3">
      <c r="A31" s="3" t="s">
        <v>129</v>
      </c>
      <c r="B31" s="3"/>
      <c r="C31" s="3"/>
      <c r="D31" s="3"/>
      <c r="E31" s="3"/>
      <c r="F31" s="3"/>
      <c r="G31" s="3"/>
      <c r="H31" s="3"/>
    </row>
    <row r="33" spans="1:8" ht="39.75" customHeight="1" x14ac:dyDescent="0.3">
      <c r="A33" s="6" t="s">
        <v>130</v>
      </c>
      <c r="B33" s="6"/>
      <c r="C33" s="6"/>
      <c r="D33" s="6"/>
      <c r="E33" s="6"/>
      <c r="F33" s="6"/>
      <c r="G33" s="6"/>
      <c r="H33" s="6"/>
    </row>
    <row r="34" spans="1:8" x14ac:dyDescent="0.3">
      <c r="A34" s="5" t="s">
        <v>131</v>
      </c>
      <c r="B34" s="5"/>
      <c r="C34" s="5"/>
      <c r="D34" s="5"/>
      <c r="E34" s="5"/>
      <c r="F34" s="5"/>
      <c r="G34" s="5"/>
      <c r="H34" s="5"/>
    </row>
    <row r="36" spans="1:8" x14ac:dyDescent="0.3">
      <c r="A36" s="10" t="s">
        <v>132</v>
      </c>
      <c r="B36" s="26" t="s">
        <v>94</v>
      </c>
      <c r="C36" s="22">
        <f>MAX(0,2500-SUM('Données sources'!$B43:B43))</f>
        <v>2342</v>
      </c>
      <c r="D36" s="22">
        <f>MAX(0,2500-SUM('Données sources'!$B43:C43))</f>
        <v>1670</v>
      </c>
      <c r="E36" s="22">
        <f>MAX(0,2500-SUM('Données sources'!$B43:D43))</f>
        <v>998</v>
      </c>
      <c r="F36" s="22">
        <f>MAX(0,2500-SUM('Données sources'!$B43:E43))</f>
        <v>326</v>
      </c>
      <c r="G36" s="22">
        <f>MAX(0,2500-SUM('Données sources'!$B43:F43))</f>
        <v>0</v>
      </c>
      <c r="H36" s="22">
        <f>MAX(0,2500-SUM('Données sources'!$B43:G43))</f>
        <v>0</v>
      </c>
    </row>
    <row r="37" spans="1:8" x14ac:dyDescent="0.3">
      <c r="A37" s="10" t="s">
        <v>133</v>
      </c>
      <c r="B37" s="26" t="s">
        <v>94</v>
      </c>
      <c r="C37" s="26" t="s">
        <v>94</v>
      </c>
      <c r="D37" s="22">
        <f>MAX(0,1000-SUM('Données sources'!$C44:C44))</f>
        <v>676</v>
      </c>
      <c r="E37" s="22">
        <f>MAX(0,1000-SUM('Données sources'!$C44:D44))</f>
        <v>120</v>
      </c>
      <c r="F37" s="22">
        <f>MAX(0,1000-SUM('Données sources'!$C44:E44))</f>
        <v>0</v>
      </c>
      <c r="G37" s="22">
        <f>MAX(0,1000-SUM('Données sources'!$C44:F44))</f>
        <v>0</v>
      </c>
      <c r="H37" s="22">
        <f>MAX(0,1000-SUM('Données sources'!$C44:G44))</f>
        <v>0</v>
      </c>
    </row>
    <row r="38" spans="1:8" x14ac:dyDescent="0.3">
      <c r="A38" s="10" t="s">
        <v>134</v>
      </c>
      <c r="B38" s="26" t="s">
        <v>94</v>
      </c>
      <c r="C38" s="22">
        <f>AVERAGE(2500,C36)</f>
        <v>2421</v>
      </c>
      <c r="D38" s="22">
        <f>AVERAGE(C36,D36)+AVERAGE(1000,D37)</f>
        <v>2844</v>
      </c>
      <c r="E38" s="22">
        <f>AVERAGE(D36,E36)+AVERAGE(D37,E37)</f>
        <v>1732</v>
      </c>
      <c r="F38" s="22">
        <f>AVERAGE(E36,F36)+AVERAGE(E37,F37)</f>
        <v>722</v>
      </c>
      <c r="G38" s="22">
        <f>AVERAGE(F36,G36)+AVERAGE(F37,G37)</f>
        <v>163</v>
      </c>
      <c r="H38" s="22">
        <f>AVERAGE(G36,H36)+AVERAGE(G37,H37)</f>
        <v>0</v>
      </c>
    </row>
    <row r="39" spans="1:8" x14ac:dyDescent="0.3">
      <c r="A39" s="10" t="s">
        <v>135</v>
      </c>
      <c r="B39" s="20" t="e">
        <f>'Données sources'!#REF!</f>
        <v>#REF!</v>
      </c>
      <c r="C39" s="20" t="e">
        <f>'Données sources'!#REF!</f>
        <v>#REF!</v>
      </c>
      <c r="D39" s="20" t="e">
        <f>'Données sources'!#REF!</f>
        <v>#REF!</v>
      </c>
      <c r="E39" s="20" t="e">
        <f>'Données sources'!#REF!</f>
        <v>#REF!</v>
      </c>
      <c r="F39" s="20" t="e">
        <f>'Données sources'!#REF!</f>
        <v>#REF!</v>
      </c>
      <c r="G39" s="20" t="e">
        <f>'Données sources'!#REF!</f>
        <v>#REF!</v>
      </c>
      <c r="H39" s="20" t="e">
        <f>'Données sources'!#REF!</f>
        <v>#REF!</v>
      </c>
    </row>
    <row r="40" spans="1:8" x14ac:dyDescent="0.3">
      <c r="A40" s="27" t="s">
        <v>136</v>
      </c>
      <c r="B40" s="22">
        <f t="shared" ref="B40:H40" si="6">IF(B38="-",0,B38*B39)</f>
        <v>0</v>
      </c>
      <c r="C40" s="22" t="e">
        <f t="shared" si="6"/>
        <v>#REF!</v>
      </c>
      <c r="D40" s="22" t="e">
        <f t="shared" si="6"/>
        <v>#REF!</v>
      </c>
      <c r="E40" s="22" t="e">
        <f t="shared" si="6"/>
        <v>#REF!</v>
      </c>
      <c r="F40" s="22" t="e">
        <f t="shared" si="6"/>
        <v>#REF!</v>
      </c>
      <c r="G40" s="22" t="e">
        <f t="shared" si="6"/>
        <v>#REF!</v>
      </c>
      <c r="H40" s="22" t="e">
        <f t="shared" si="6"/>
        <v>#REF!</v>
      </c>
    </row>
    <row r="42" spans="1:8" x14ac:dyDescent="0.3">
      <c r="A42" s="15" t="s">
        <v>137</v>
      </c>
      <c r="B42" s="16" t="e">
        <f t="shared" ref="B42:H42" si="7">B7+B10+B40</f>
        <v>#REF!</v>
      </c>
      <c r="C42" s="16" t="e">
        <f t="shared" si="7"/>
        <v>#REF!</v>
      </c>
      <c r="D42" s="16" t="e">
        <f t="shared" si="7"/>
        <v>#REF!</v>
      </c>
      <c r="E42" s="16" t="e">
        <f t="shared" si="7"/>
        <v>#REF!</v>
      </c>
      <c r="F42" s="16" t="e">
        <f t="shared" si="7"/>
        <v>#REF!</v>
      </c>
      <c r="G42" s="16" t="e">
        <f t="shared" si="7"/>
        <v>#REF!</v>
      </c>
      <c r="H42" s="16" t="e">
        <f t="shared" si="7"/>
        <v>#REF!</v>
      </c>
    </row>
    <row r="43" spans="1:8" x14ac:dyDescent="0.3">
      <c r="A43" s="15" t="s">
        <v>138</v>
      </c>
      <c r="B43" s="25" t="e">
        <f t="shared" ref="B43:H43" si="8">IF(B21="","-",IFERROR(B21/B42,"-"))</f>
        <v>#REF!</v>
      </c>
      <c r="C43" s="25" t="str">
        <f t="shared" si="8"/>
        <v>-</v>
      </c>
      <c r="D43" s="25" t="str">
        <f t="shared" si="8"/>
        <v>-</v>
      </c>
      <c r="E43" s="25" t="str">
        <f t="shared" si="8"/>
        <v>-</v>
      </c>
      <c r="F43" s="25" t="str">
        <f t="shared" si="8"/>
        <v>-</v>
      </c>
      <c r="G43" s="25" t="str">
        <f t="shared" si="8"/>
        <v>-</v>
      </c>
      <c r="H43" s="25" t="str">
        <f t="shared" si="8"/>
        <v>-</v>
      </c>
    </row>
    <row r="44" spans="1:8" x14ac:dyDescent="0.3">
      <c r="A44" s="3" t="s">
        <v>139</v>
      </c>
      <c r="B44" s="3"/>
      <c r="C44" s="3"/>
      <c r="D44" s="3"/>
      <c r="E44" s="3"/>
      <c r="F44" s="3"/>
      <c r="G44" s="3"/>
      <c r="H44" s="3"/>
    </row>
    <row r="46" spans="1:8" ht="13.5" customHeight="1" x14ac:dyDescent="0.3">
      <c r="A46" s="6" t="s">
        <v>140</v>
      </c>
      <c r="B46" s="6"/>
      <c r="C46" s="6"/>
      <c r="D46" s="6"/>
      <c r="E46" s="6"/>
      <c r="F46" s="6"/>
      <c r="G46" s="6"/>
      <c r="H46" s="6"/>
    </row>
    <row r="47" spans="1:8" ht="13.5" customHeight="1" x14ac:dyDescent="0.3">
      <c r="A47" s="3" t="s">
        <v>141</v>
      </c>
      <c r="B47" s="3"/>
      <c r="C47" s="3"/>
      <c r="D47" s="3"/>
      <c r="E47" s="3"/>
      <c r="F47" s="3"/>
      <c r="G47" s="3"/>
      <c r="H47" s="3"/>
    </row>
    <row r="48" spans="1:8" ht="13.5" customHeight="1" x14ac:dyDescent="0.3">
      <c r="A48" s="3" t="s">
        <v>142</v>
      </c>
      <c r="B48" s="3"/>
      <c r="C48" s="3"/>
      <c r="D48" s="3"/>
      <c r="E48" s="3"/>
      <c r="F48" s="3"/>
      <c r="G48" s="3"/>
      <c r="H48" s="3"/>
    </row>
    <row r="49" spans="1:8" ht="13.5" customHeight="1" x14ac:dyDescent="0.3">
      <c r="A49" s="3" t="s">
        <v>143</v>
      </c>
      <c r="B49" s="3"/>
      <c r="C49" s="3"/>
      <c r="D49" s="3"/>
      <c r="E49" s="3"/>
      <c r="F49" s="3"/>
      <c r="G49" s="3"/>
      <c r="H49" s="3"/>
    </row>
    <row r="50" spans="1:8" ht="13.5" customHeight="1" x14ac:dyDescent="0.3">
      <c r="A50" s="3" t="s">
        <v>144</v>
      </c>
      <c r="B50" s="3"/>
      <c r="C50" s="3"/>
      <c r="D50" s="3"/>
      <c r="E50" s="3"/>
      <c r="F50" s="3"/>
      <c r="G50" s="3"/>
      <c r="H50" s="3"/>
    </row>
    <row r="51" spans="1:8" ht="13.5" customHeight="1" x14ac:dyDescent="0.3">
      <c r="A51" s="3" t="s">
        <v>145</v>
      </c>
      <c r="B51" s="3"/>
      <c r="C51" s="3"/>
      <c r="D51" s="3"/>
      <c r="E51" s="3"/>
      <c r="F51" s="3"/>
      <c r="G51" s="3"/>
      <c r="H51" s="3"/>
    </row>
    <row r="52" spans="1:8" x14ac:dyDescent="0.3">
      <c r="A52" s="3" t="s">
        <v>146</v>
      </c>
      <c r="B52" s="3"/>
      <c r="C52" s="3"/>
      <c r="D52" s="3"/>
      <c r="E52" s="3"/>
      <c r="F52" s="3"/>
      <c r="G52" s="3"/>
      <c r="H52" s="3"/>
    </row>
  </sheetData>
  <mergeCells count="22">
    <mergeCell ref="A51:H51"/>
    <mergeCell ref="A52:H52"/>
    <mergeCell ref="A46:H46"/>
    <mergeCell ref="A47:H47"/>
    <mergeCell ref="A48:H48"/>
    <mergeCell ref="A49:H49"/>
    <mergeCell ref="A50:H50"/>
    <mergeCell ref="A23:H23"/>
    <mergeCell ref="A31:H31"/>
    <mergeCell ref="A33:H33"/>
    <mergeCell ref="A34:H34"/>
    <mergeCell ref="A44:H44"/>
    <mergeCell ref="A13:H13"/>
    <mergeCell ref="A14:H14"/>
    <mergeCell ref="A18:H18"/>
    <mergeCell ref="A19:H19"/>
    <mergeCell ref="A22:H22"/>
    <mergeCell ref="A2:H2"/>
    <mergeCell ref="A3:H3"/>
    <mergeCell ref="A6:H6"/>
    <mergeCell ref="A8:C8"/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sources</vt:lpstr>
      <vt:lpstr>Exposition et recommandation</vt:lpstr>
      <vt:lpstr>Focus CMT 1000 MXOF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marvin womblegnon</cp:lastModifiedBy>
  <cp:revision>0</cp:revision>
  <dcterms:created xsi:type="dcterms:W3CDTF">2026-07-14T12:54:11Z</dcterms:created>
  <dcterms:modified xsi:type="dcterms:W3CDTF">2026-07-14T13:20:53Z</dcterms:modified>
  <dc:language>en-US</dc:language>
</cp:coreProperties>
</file>