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RVIN\Documents\"/>
    </mc:Choice>
  </mc:AlternateContent>
  <xr:revisionPtr revIDLastSave="0" documentId="13_ncr:1_{6F1B3560-C0B8-4905-A6AA-6188B99C9F8B}" xr6:coauthVersionLast="47" xr6:coauthVersionMax="47" xr10:uidLastSave="{00000000-0000-0000-0000-000000000000}"/>
  <bookViews>
    <workbookView xWindow="-108" yWindow="-108" windowWidth="23256" windowHeight="13896" tabRatio="500" activeTab="2" xr2:uid="{00000000-000D-0000-FFFF-FFFF00000000}"/>
  </bookViews>
  <sheets>
    <sheet name="Modèle Original" sheetId="1" r:id="rId1"/>
    <sheet name="Présentation Dossier" sheetId="2" r:id="rId2"/>
    <sheet name="Demande &amp; Cas Dégradé" sheetId="3" r:id="rId3"/>
    <sheet name="Modèle Amélioré" sheetId="4" r:id="rId4"/>
    <sheet name="Hypothèses" sheetId="5" r:id="rId5"/>
    <sheet name="Projections Cash Flow" sheetId="6" r:id="rId6"/>
    <sheet name="Pistes d'Amélioration" sheetId="7" r:id="rId7"/>
  </sheets>
  <definedNames>
    <definedName name="_xlnm.Print_Titles" localSheetId="2">'Demande &amp; Cas Dégradé'!$A:$C</definedName>
    <definedName name="_xlnm.Print_Titles" localSheetId="1">'Présentation Dossier'!$12:$12,'Présentation Dossier'!$A:$B</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8" i="4" l="1"/>
  <c r="E55" i="4" s="1"/>
  <c r="C31" i="4"/>
  <c r="C18" i="2"/>
  <c r="C77" i="4"/>
  <c r="C75" i="4"/>
  <c r="C64" i="2" s="1"/>
  <c r="D74" i="4"/>
  <c r="D61" i="2" s="1"/>
  <c r="C74" i="4"/>
  <c r="C61" i="2" s="1"/>
  <c r="I72" i="4"/>
  <c r="H72" i="4"/>
  <c r="H63" i="2" s="1"/>
  <c r="G72" i="4"/>
  <c r="F72" i="4"/>
  <c r="E72" i="4"/>
  <c r="D72" i="4"/>
  <c r="D63" i="2" s="1"/>
  <c r="C72" i="4"/>
  <c r="D56" i="4"/>
  <c r="C56" i="4"/>
  <c r="I54" i="4"/>
  <c r="H54" i="4"/>
  <c r="G54" i="4"/>
  <c r="F54" i="4"/>
  <c r="E54" i="4"/>
  <c r="J51" i="4"/>
  <c r="E51" i="4"/>
  <c r="I48" i="4"/>
  <c r="H48" i="4"/>
  <c r="G48" i="4"/>
  <c r="F48" i="4"/>
  <c r="E48" i="4"/>
  <c r="D48" i="4"/>
  <c r="C48" i="4"/>
  <c r="E47" i="4"/>
  <c r="J47" i="4" s="1"/>
  <c r="I41" i="4"/>
  <c r="D41" i="4"/>
  <c r="C41" i="4"/>
  <c r="I40" i="4"/>
  <c r="H40" i="4"/>
  <c r="G40" i="4"/>
  <c r="G28" i="2" s="1"/>
  <c r="F40" i="4"/>
  <c r="E40" i="4"/>
  <c r="E28" i="2" s="1"/>
  <c r="I39" i="4"/>
  <c r="I27" i="2" s="1"/>
  <c r="H39" i="4"/>
  <c r="G39" i="4"/>
  <c r="F39" i="4"/>
  <c r="E39" i="4"/>
  <c r="E27" i="2" s="1"/>
  <c r="I38" i="4"/>
  <c r="H38" i="4"/>
  <c r="G38" i="4"/>
  <c r="F38" i="4"/>
  <c r="E38" i="4"/>
  <c r="D31" i="4"/>
  <c r="I25" i="4"/>
  <c r="I26" i="4" s="1"/>
  <c r="I17" i="2" s="1"/>
  <c r="H25" i="4"/>
  <c r="H26" i="4" s="1"/>
  <c r="H17" i="2" s="1"/>
  <c r="G25" i="4"/>
  <c r="G26" i="4" s="1"/>
  <c r="G17" i="2" s="1"/>
  <c r="F25" i="4"/>
  <c r="F26" i="4" s="1"/>
  <c r="F17" i="2" s="1"/>
  <c r="E25" i="4"/>
  <c r="I24" i="4"/>
  <c r="H24" i="4"/>
  <c r="G24" i="4"/>
  <c r="F24" i="4"/>
  <c r="E24" i="4"/>
  <c r="E26" i="4" s="1"/>
  <c r="D24" i="4"/>
  <c r="D26" i="4" s="1"/>
  <c r="D17" i="2" s="1"/>
  <c r="C24" i="4"/>
  <c r="C26" i="4" s="1"/>
  <c r="C17" i="2" s="1"/>
  <c r="I18" i="4"/>
  <c r="I13" i="2" s="1"/>
  <c r="H18" i="4"/>
  <c r="H13" i="2" s="1"/>
  <c r="G18" i="4"/>
  <c r="G13" i="2" s="1"/>
  <c r="F18" i="4"/>
  <c r="E18" i="4"/>
  <c r="D18" i="4"/>
  <c r="C18" i="4"/>
  <c r="I16" i="4"/>
  <c r="H16" i="4"/>
  <c r="H11" i="2" s="1"/>
  <c r="G16" i="4"/>
  <c r="G11" i="2" s="1"/>
  <c r="F16" i="4"/>
  <c r="F11" i="2" s="1"/>
  <c r="E16" i="4"/>
  <c r="D16" i="4"/>
  <c r="C16" i="4"/>
  <c r="I14" i="4"/>
  <c r="H14" i="4"/>
  <c r="G14" i="4"/>
  <c r="G9" i="2" s="1"/>
  <c r="F14" i="4"/>
  <c r="E14" i="4"/>
  <c r="E9" i="2" s="1"/>
  <c r="C14" i="4"/>
  <c r="D13" i="4"/>
  <c r="C13" i="4"/>
  <c r="I12" i="4"/>
  <c r="I8" i="2" s="1"/>
  <c r="H12" i="4"/>
  <c r="G12" i="4"/>
  <c r="F12" i="4"/>
  <c r="E12" i="4"/>
  <c r="D12" i="4"/>
  <c r="D8" i="2" s="1"/>
  <c r="C66" i="2"/>
  <c r="I63" i="2"/>
  <c r="G63" i="2"/>
  <c r="F63" i="2"/>
  <c r="E63" i="2"/>
  <c r="C63" i="2"/>
  <c r="C62" i="2"/>
  <c r="D53" i="2"/>
  <c r="C53" i="2"/>
  <c r="D52" i="2"/>
  <c r="C52" i="2"/>
  <c r="D51" i="2"/>
  <c r="C51" i="2"/>
  <c r="C47" i="2"/>
  <c r="D45" i="2"/>
  <c r="C45" i="2"/>
  <c r="D44" i="2"/>
  <c r="C44" i="2"/>
  <c r="I43" i="2"/>
  <c r="H43" i="2"/>
  <c r="G43" i="2"/>
  <c r="D43" i="2"/>
  <c r="C43" i="2"/>
  <c r="C41" i="2"/>
  <c r="J40" i="2"/>
  <c r="I40" i="2"/>
  <c r="H40" i="2"/>
  <c r="G40" i="2"/>
  <c r="F40" i="2"/>
  <c r="E40" i="2"/>
  <c r="D40" i="2"/>
  <c r="C40" i="2"/>
  <c r="I36" i="2"/>
  <c r="H36" i="2"/>
  <c r="G36" i="2"/>
  <c r="F36" i="2"/>
  <c r="D36" i="2"/>
  <c r="C36" i="2"/>
  <c r="I35" i="2"/>
  <c r="H35" i="2"/>
  <c r="G35" i="2"/>
  <c r="F35" i="2"/>
  <c r="E35" i="2"/>
  <c r="J35" i="2" s="1"/>
  <c r="D35" i="2"/>
  <c r="C35" i="2"/>
  <c r="I29" i="2"/>
  <c r="D29" i="2"/>
  <c r="C29" i="2"/>
  <c r="I28" i="2"/>
  <c r="H28" i="2"/>
  <c r="F28" i="2"/>
  <c r="D28" i="2"/>
  <c r="C28" i="2"/>
  <c r="G27" i="2"/>
  <c r="D27" i="2"/>
  <c r="C27" i="2"/>
  <c r="I26" i="2"/>
  <c r="H26" i="2"/>
  <c r="G26" i="2"/>
  <c r="F26" i="2"/>
  <c r="E26" i="2"/>
  <c r="D26" i="2"/>
  <c r="C26" i="2"/>
  <c r="D18" i="2"/>
  <c r="F13" i="2"/>
  <c r="E13" i="2"/>
  <c r="D13" i="2"/>
  <c r="C13" i="2"/>
  <c r="I11" i="2"/>
  <c r="E11" i="2"/>
  <c r="D11" i="2"/>
  <c r="C11" i="2"/>
  <c r="I9" i="2"/>
  <c r="H9" i="2"/>
  <c r="F9" i="2"/>
  <c r="C9" i="2"/>
  <c r="H8" i="2"/>
  <c r="G8" i="2"/>
  <c r="F8" i="2"/>
  <c r="E8" i="2"/>
  <c r="C8" i="2"/>
  <c r="I76" i="1"/>
  <c r="H76" i="1"/>
  <c r="G76" i="1"/>
  <c r="F76" i="1"/>
  <c r="E76" i="1"/>
  <c r="D76" i="1"/>
  <c r="C76" i="1"/>
  <c r="I75" i="1"/>
  <c r="H75" i="1"/>
  <c r="G75" i="1"/>
  <c r="F75" i="1"/>
  <c r="E75" i="1"/>
  <c r="D75" i="1"/>
  <c r="C75" i="1"/>
  <c r="I64" i="1"/>
  <c r="F64" i="1"/>
  <c r="C62" i="1"/>
  <c r="I55" i="1"/>
  <c r="H55" i="1"/>
  <c r="H64" i="1" s="1"/>
  <c r="G55" i="1"/>
  <c r="G64" i="1" s="1"/>
  <c r="F55" i="1"/>
  <c r="J55" i="1" s="1"/>
  <c r="E55" i="1"/>
  <c r="I51" i="1"/>
  <c r="H51" i="1"/>
  <c r="G51" i="1"/>
  <c r="F51" i="1"/>
  <c r="E51" i="1"/>
  <c r="D51" i="1"/>
  <c r="C51" i="1"/>
  <c r="E50" i="1"/>
  <c r="J50" i="1" s="1"/>
  <c r="I45" i="1"/>
  <c r="H45" i="1"/>
  <c r="G45" i="1"/>
  <c r="F45" i="1"/>
  <c r="D45" i="1"/>
  <c r="C45" i="1"/>
  <c r="J45" i="1" s="1"/>
  <c r="E43" i="1"/>
  <c r="E45" i="1" s="1"/>
  <c r="C39" i="1"/>
  <c r="D38" i="1"/>
  <c r="D39" i="1" s="1"/>
  <c r="C38" i="1"/>
  <c r="I37" i="1"/>
  <c r="H37" i="1"/>
  <c r="G37" i="1"/>
  <c r="F37" i="1"/>
  <c r="E37" i="1"/>
  <c r="D37" i="1"/>
  <c r="I30" i="1"/>
  <c r="G30" i="1"/>
  <c r="E30" i="1"/>
  <c r="D30" i="1"/>
  <c r="C30" i="1"/>
  <c r="I29" i="1"/>
  <c r="H29" i="1"/>
  <c r="H30" i="1" s="1"/>
  <c r="G29" i="1"/>
  <c r="F29" i="1"/>
  <c r="F30" i="1" s="1"/>
  <c r="E29" i="1"/>
  <c r="E26" i="1"/>
  <c r="D26" i="1"/>
  <c r="I25" i="1"/>
  <c r="H25" i="1"/>
  <c r="G25" i="1"/>
  <c r="G26" i="1" s="1"/>
  <c r="F25" i="1"/>
  <c r="F26" i="1" s="1"/>
  <c r="E25" i="1"/>
  <c r="I24" i="1"/>
  <c r="H24" i="1"/>
  <c r="H26" i="1" s="1"/>
  <c r="G24" i="1"/>
  <c r="F24" i="1"/>
  <c r="E24" i="1"/>
  <c r="D24" i="1"/>
  <c r="C24" i="1"/>
  <c r="C26" i="1" s="1"/>
  <c r="C19" i="1"/>
  <c r="I18" i="1"/>
  <c r="H18" i="1"/>
  <c r="G18" i="1"/>
  <c r="F18" i="1"/>
  <c r="E18" i="1"/>
  <c r="D18" i="1"/>
  <c r="C18" i="1"/>
  <c r="I16" i="1"/>
  <c r="H16" i="1"/>
  <c r="G16" i="1"/>
  <c r="F16" i="1"/>
  <c r="E16" i="1"/>
  <c r="D16" i="1"/>
  <c r="C16" i="1"/>
  <c r="C17" i="1" s="1"/>
  <c r="D15" i="1"/>
  <c r="C15" i="1"/>
  <c r="I14" i="1"/>
  <c r="H14" i="1"/>
  <c r="G14" i="1"/>
  <c r="F14" i="1"/>
  <c r="E14" i="1"/>
  <c r="D14" i="1"/>
  <c r="D14" i="4" s="1"/>
  <c r="D9" i="2" s="1"/>
  <c r="D13" i="1"/>
  <c r="C13" i="1"/>
  <c r="I12" i="1"/>
  <c r="H12" i="1"/>
  <c r="G12" i="1"/>
  <c r="F12" i="1"/>
  <c r="E12" i="1"/>
  <c r="D12" i="1"/>
  <c r="F28" i="4" l="1"/>
  <c r="F74" i="4" s="1"/>
  <c r="F61" i="2" s="1"/>
  <c r="E74" i="4"/>
  <c r="E61" i="2" s="1"/>
  <c r="E30" i="4"/>
  <c r="D17" i="4"/>
  <c r="D12" i="2" s="1"/>
  <c r="D19" i="4"/>
  <c r="D14" i="2" s="1"/>
  <c r="D21" i="4"/>
  <c r="D16" i="2" s="1"/>
  <c r="D42" i="4"/>
  <c r="D15" i="4"/>
  <c r="D10" i="2" s="1"/>
  <c r="D7" i="2"/>
  <c r="E13" i="4"/>
  <c r="E56" i="4"/>
  <c r="E43" i="2"/>
  <c r="J54" i="4"/>
  <c r="C15" i="4"/>
  <c r="C10" i="2" s="1"/>
  <c r="C7" i="2"/>
  <c r="C17" i="4"/>
  <c r="C12" i="2" s="1"/>
  <c r="C19" i="4"/>
  <c r="C14" i="2" s="1"/>
  <c r="C21" i="4"/>
  <c r="C16" i="2" s="1"/>
  <c r="C59" i="4"/>
  <c r="C42" i="4"/>
  <c r="C22" i="4"/>
  <c r="H27" i="2"/>
  <c r="H41" i="4"/>
  <c r="H29" i="2" s="1"/>
  <c r="J26" i="4"/>
  <c r="E17" i="2"/>
  <c r="J17" i="2" s="1"/>
  <c r="C22" i="1"/>
  <c r="F41" i="4"/>
  <c r="F29" i="2" s="1"/>
  <c r="F27" i="2"/>
  <c r="F30" i="4"/>
  <c r="F31" i="4" s="1"/>
  <c r="F18" i="2" s="1"/>
  <c r="F43" i="2"/>
  <c r="E13" i="1"/>
  <c r="G41" i="4"/>
  <c r="G29" i="2" s="1"/>
  <c r="E41" i="4"/>
  <c r="E29" i="2" s="1"/>
  <c r="I26" i="1"/>
  <c r="J26" i="1" s="1"/>
  <c r="J48" i="4"/>
  <c r="D19" i="1"/>
  <c r="E44" i="2"/>
  <c r="D17" i="1"/>
  <c r="D22" i="1" s="1"/>
  <c r="J43" i="1"/>
  <c r="C21" i="1"/>
  <c r="E64" i="1"/>
  <c r="E36" i="2"/>
  <c r="J36" i="2" s="1"/>
  <c r="F55" i="4" l="1"/>
  <c r="G28" i="4"/>
  <c r="E31" i="4"/>
  <c r="E18" i="2" s="1"/>
  <c r="D32" i="1"/>
  <c r="D73" i="1"/>
  <c r="D74" i="1"/>
  <c r="C74" i="1"/>
  <c r="C73" i="1"/>
  <c r="C32" i="1"/>
  <c r="D21" i="1"/>
  <c r="C76" i="4"/>
  <c r="C65" i="2" s="1"/>
  <c r="C15" i="2"/>
  <c r="C33" i="4"/>
  <c r="J43" i="2"/>
  <c r="C43" i="4"/>
  <c r="C31" i="2" s="1"/>
  <c r="C30" i="2"/>
  <c r="E63" i="4"/>
  <c r="E53" i="2" s="1"/>
  <c r="E45" i="2"/>
  <c r="C48" i="2"/>
  <c r="C22" i="2"/>
  <c r="E19" i="4"/>
  <c r="E15" i="4"/>
  <c r="E17" i="4"/>
  <c r="E7" i="2"/>
  <c r="E22" i="4"/>
  <c r="F13" i="4"/>
  <c r="E42" i="4"/>
  <c r="D22" i="4"/>
  <c r="E22" i="1"/>
  <c r="E21" i="1"/>
  <c r="F13" i="1"/>
  <c r="E17" i="1"/>
  <c r="E19" i="1"/>
  <c r="E15" i="1"/>
  <c r="E38" i="1"/>
  <c r="E39" i="1" s="1"/>
  <c r="D43" i="4"/>
  <c r="D31" i="2" s="1"/>
  <c r="D30" i="2"/>
  <c r="E67" i="1"/>
  <c r="J64" i="1"/>
  <c r="G74" i="4"/>
  <c r="G61" i="2" s="1"/>
  <c r="H28" i="4"/>
  <c r="G55" i="4"/>
  <c r="G30" i="4"/>
  <c r="G31" i="4" s="1"/>
  <c r="G18" i="2" s="1"/>
  <c r="F44" i="2" l="1"/>
  <c r="F56" i="4"/>
  <c r="E43" i="4"/>
  <c r="E30" i="2"/>
  <c r="G13" i="4"/>
  <c r="F42" i="4"/>
  <c r="F17" i="4"/>
  <c r="F12" i="2" s="1"/>
  <c r="F15" i="4"/>
  <c r="F10" i="2" s="1"/>
  <c r="F7" i="2"/>
  <c r="F19" i="4"/>
  <c r="F14" i="2" s="1"/>
  <c r="E15" i="2"/>
  <c r="E76" i="4"/>
  <c r="E65" i="2" s="1"/>
  <c r="E33" i="4"/>
  <c r="E12" i="2"/>
  <c r="E10" i="2"/>
  <c r="E14" i="2"/>
  <c r="C33" i="1"/>
  <c r="E21" i="4"/>
  <c r="E16" i="2" s="1"/>
  <c r="C34" i="4"/>
  <c r="C20" i="2" s="1"/>
  <c r="C19" i="2"/>
  <c r="G13" i="1"/>
  <c r="F38" i="1"/>
  <c r="F39" i="1" s="1"/>
  <c r="F15" i="1"/>
  <c r="F21" i="1" s="1"/>
  <c r="F19" i="1"/>
  <c r="F17" i="1"/>
  <c r="G56" i="4"/>
  <c r="G44" i="2"/>
  <c r="E32" i="1"/>
  <c r="E74" i="1"/>
  <c r="E73" i="1"/>
  <c r="H74" i="4"/>
  <c r="H61" i="2" s="1"/>
  <c r="I28" i="4"/>
  <c r="H55" i="4"/>
  <c r="H30" i="4"/>
  <c r="H31" i="4" s="1"/>
  <c r="H18" i="2" s="1"/>
  <c r="D76" i="4"/>
  <c r="D65" i="2" s="1"/>
  <c r="D33" i="4"/>
  <c r="D15" i="2"/>
  <c r="D33" i="1"/>
  <c r="D34" i="1" s="1"/>
  <c r="J55" i="4" l="1"/>
  <c r="F45" i="2"/>
  <c r="F63" i="4"/>
  <c r="F53" i="2" s="1"/>
  <c r="D35" i="1"/>
  <c r="D40" i="1" s="1"/>
  <c r="D46" i="1" s="1"/>
  <c r="E52" i="1"/>
  <c r="I55" i="4"/>
  <c r="I74" i="4"/>
  <c r="I61" i="2" s="1"/>
  <c r="I30" i="4"/>
  <c r="E34" i="4"/>
  <c r="E35" i="4" s="1"/>
  <c r="E19" i="2"/>
  <c r="C35" i="4"/>
  <c r="E33" i="1"/>
  <c r="E34" i="1" s="1"/>
  <c r="G45" i="2"/>
  <c r="G63" i="4"/>
  <c r="G53" i="2" s="1"/>
  <c r="C34" i="1"/>
  <c r="F22" i="1"/>
  <c r="F22" i="4"/>
  <c r="F30" i="2"/>
  <c r="F43" i="4"/>
  <c r="F31" i="2" s="1"/>
  <c r="H13" i="4"/>
  <c r="G42" i="4"/>
  <c r="G7" i="2"/>
  <c r="G15" i="4"/>
  <c r="G19" i="4"/>
  <c r="G17" i="4"/>
  <c r="G12" i="2" s="1"/>
  <c r="D34" i="4"/>
  <c r="D20" i="2" s="1"/>
  <c r="D35" i="4"/>
  <c r="D19" i="2"/>
  <c r="F21" i="4"/>
  <c r="F16" i="2" s="1"/>
  <c r="E31" i="2"/>
  <c r="H56" i="4"/>
  <c r="H44" i="2"/>
  <c r="H13" i="1"/>
  <c r="G38" i="1"/>
  <c r="G39" i="1" s="1"/>
  <c r="G15" i="1"/>
  <c r="G22" i="1" s="1"/>
  <c r="G17" i="1"/>
  <c r="G21" i="1" s="1"/>
  <c r="G19" i="1"/>
  <c r="I31" i="4" l="1"/>
  <c r="I18" i="2" s="1"/>
  <c r="J18" i="2" s="1"/>
  <c r="J30" i="4"/>
  <c r="E35" i="1"/>
  <c r="F52" i="1"/>
  <c r="G74" i="1"/>
  <c r="G32" i="1"/>
  <c r="G73" i="1"/>
  <c r="G67" i="1"/>
  <c r="D73" i="4"/>
  <c r="D21" i="2"/>
  <c r="D36" i="4"/>
  <c r="E52" i="4"/>
  <c r="E41" i="2" s="1"/>
  <c r="F15" i="2"/>
  <c r="F76" i="4"/>
  <c r="F65" i="2" s="1"/>
  <c r="F33" i="4"/>
  <c r="F74" i="1"/>
  <c r="F73" i="1"/>
  <c r="F32" i="1"/>
  <c r="F67" i="1"/>
  <c r="G14" i="2"/>
  <c r="D52" i="1"/>
  <c r="C35" i="1"/>
  <c r="C21" i="2"/>
  <c r="D52" i="4"/>
  <c r="C36" i="4"/>
  <c r="G10" i="2"/>
  <c r="E36" i="4"/>
  <c r="E62" i="4" s="1"/>
  <c r="E52" i="2" s="1"/>
  <c r="F52" i="4"/>
  <c r="F41" i="2" s="1"/>
  <c r="E21" i="2"/>
  <c r="E20" i="2"/>
  <c r="I13" i="1"/>
  <c r="H19" i="1"/>
  <c r="H15" i="1"/>
  <c r="H22" i="1" s="1"/>
  <c r="H17" i="1"/>
  <c r="H38" i="1"/>
  <c r="H39" i="1" s="1"/>
  <c r="J13" i="1"/>
  <c r="G30" i="2"/>
  <c r="G43" i="4"/>
  <c r="H42" i="4"/>
  <c r="H15" i="4"/>
  <c r="H10" i="2" s="1"/>
  <c r="H7" i="2"/>
  <c r="H19" i="4"/>
  <c r="H14" i="2" s="1"/>
  <c r="I13" i="4"/>
  <c r="H17" i="4"/>
  <c r="H45" i="2"/>
  <c r="H63" i="4"/>
  <c r="H53" i="2" s="1"/>
  <c r="G22" i="4"/>
  <c r="G21" i="4"/>
  <c r="G16" i="2" s="1"/>
  <c r="I44" i="2"/>
  <c r="J44" i="2" s="1"/>
  <c r="I56" i="4"/>
  <c r="J56" i="4" s="1"/>
  <c r="J13" i="4"/>
  <c r="D53" i="1"/>
  <c r="D58" i="1" s="1"/>
  <c r="D61" i="1" s="1"/>
  <c r="H74" i="1" l="1"/>
  <c r="H32" i="1"/>
  <c r="H73" i="1"/>
  <c r="H67" i="1"/>
  <c r="F19" i="2"/>
  <c r="F34" i="4"/>
  <c r="C44" i="4"/>
  <c r="C23" i="2"/>
  <c r="D44" i="4"/>
  <c r="D23" i="2"/>
  <c r="H12" i="2"/>
  <c r="J12" i="2" s="1"/>
  <c r="J17" i="4"/>
  <c r="E73" i="4"/>
  <c r="D62" i="2"/>
  <c r="D77" i="4"/>
  <c r="D66" i="2" s="1"/>
  <c r="D75" i="4"/>
  <c r="D64" i="2" s="1"/>
  <c r="I45" i="2"/>
  <c r="J45" i="2" s="1"/>
  <c r="I63" i="4"/>
  <c r="I53" i="2" s="1"/>
  <c r="J19" i="4"/>
  <c r="J14" i="2"/>
  <c r="G15" i="2"/>
  <c r="G33" i="4"/>
  <c r="G76" i="4"/>
  <c r="G65" i="2" s="1"/>
  <c r="H43" i="4"/>
  <c r="H31" i="2" s="1"/>
  <c r="H30" i="2"/>
  <c r="F33" i="1"/>
  <c r="E40" i="1"/>
  <c r="E66" i="1"/>
  <c r="G31" i="2"/>
  <c r="D41" i="2"/>
  <c r="D62" i="1"/>
  <c r="H21" i="1"/>
  <c r="I17" i="4"/>
  <c r="I12" i="2" s="1"/>
  <c r="I19" i="4"/>
  <c r="I14" i="2" s="1"/>
  <c r="I7" i="2"/>
  <c r="I42" i="4"/>
  <c r="I15" i="4"/>
  <c r="C40" i="1"/>
  <c r="I15" i="1"/>
  <c r="J15" i="1" s="1"/>
  <c r="I17" i="1"/>
  <c r="J17" i="1" s="1"/>
  <c r="I19" i="1"/>
  <c r="J19" i="1" s="1"/>
  <c r="I38" i="1"/>
  <c r="I39" i="1" s="1"/>
  <c r="J39" i="1" s="1"/>
  <c r="G33" i="1"/>
  <c r="G34" i="1" s="1"/>
  <c r="H21" i="4"/>
  <c r="H16" i="2" s="1"/>
  <c r="H22" i="4"/>
  <c r="E44" i="4"/>
  <c r="E23" i="2"/>
  <c r="E61" i="4" l="1"/>
  <c r="E51" i="2" s="1"/>
  <c r="E69" i="4"/>
  <c r="E67" i="4"/>
  <c r="E57" i="2"/>
  <c r="E58" i="2"/>
  <c r="E68" i="4"/>
  <c r="E56" i="2"/>
  <c r="F20" i="2"/>
  <c r="F35" i="4"/>
  <c r="H52" i="1"/>
  <c r="G35" i="1"/>
  <c r="E62" i="2"/>
  <c r="E75" i="4"/>
  <c r="E64" i="2" s="1"/>
  <c r="E77" i="4"/>
  <c r="E66" i="2" s="1"/>
  <c r="D32" i="2"/>
  <c r="D49" i="4"/>
  <c r="I10" i="2"/>
  <c r="J10" i="2" s="1"/>
  <c r="J15" i="4"/>
  <c r="E32" i="2"/>
  <c r="E49" i="4"/>
  <c r="C49" i="4"/>
  <c r="C32" i="2"/>
  <c r="H33" i="4"/>
  <c r="H76" i="4"/>
  <c r="H65" i="2" s="1"/>
  <c r="H15" i="2"/>
  <c r="I21" i="4"/>
  <c r="I16" i="2" s="1"/>
  <c r="F34" i="1"/>
  <c r="H33" i="1"/>
  <c r="H34" i="1"/>
  <c r="C46" i="1"/>
  <c r="I30" i="2"/>
  <c r="I43" i="4"/>
  <c r="E46" i="1"/>
  <c r="E53" i="1" s="1"/>
  <c r="E58" i="1" s="1"/>
  <c r="E61" i="1" s="1"/>
  <c r="E65" i="1"/>
  <c r="I22" i="4"/>
  <c r="I21" i="1"/>
  <c r="I22" i="1"/>
  <c r="G19" i="2"/>
  <c r="G34" i="4"/>
  <c r="G20" i="2" s="1"/>
  <c r="J33" i="4" l="1"/>
  <c r="F73" i="4"/>
  <c r="F62" i="2" s="1"/>
  <c r="G35" i="4"/>
  <c r="G73" i="4" s="1"/>
  <c r="F36" i="4"/>
  <c r="G52" i="4"/>
  <c r="F21" i="2"/>
  <c r="E62" i="1"/>
  <c r="E53" i="4"/>
  <c r="E37" i="2"/>
  <c r="G21" i="2"/>
  <c r="G36" i="4"/>
  <c r="G62" i="4" s="1"/>
  <c r="G52" i="2" s="1"/>
  <c r="H52" i="4"/>
  <c r="H41" i="2" s="1"/>
  <c r="I52" i="1"/>
  <c r="H35" i="1"/>
  <c r="F75" i="4"/>
  <c r="F64" i="2" s="1"/>
  <c r="F77" i="4"/>
  <c r="F66" i="2" s="1"/>
  <c r="C53" i="4"/>
  <c r="C37" i="2"/>
  <c r="I31" i="2"/>
  <c r="J31" i="2" s="1"/>
  <c r="J43" i="4"/>
  <c r="C53" i="1"/>
  <c r="D53" i="4"/>
  <c r="D37" i="2"/>
  <c r="G52" i="1"/>
  <c r="F35" i="1"/>
  <c r="I32" i="1"/>
  <c r="I74" i="1"/>
  <c r="I73" i="1"/>
  <c r="I67" i="1"/>
  <c r="J22" i="1"/>
  <c r="I76" i="4"/>
  <c r="I65" i="2" s="1"/>
  <c r="I33" i="4"/>
  <c r="I15" i="2"/>
  <c r="J15" i="2" s="1"/>
  <c r="J22" i="4"/>
  <c r="F23" i="2"/>
  <c r="F44" i="4"/>
  <c r="G40" i="1"/>
  <c r="G66" i="1"/>
  <c r="H19" i="2"/>
  <c r="H34" i="4"/>
  <c r="H20" i="2" s="1"/>
  <c r="H35" i="4"/>
  <c r="F69" i="4" l="1"/>
  <c r="F58" i="2"/>
  <c r="F67" i="4"/>
  <c r="F68" i="4"/>
  <c r="F57" i="2"/>
  <c r="F56" i="2"/>
  <c r="F61" i="4"/>
  <c r="F51" i="2" s="1"/>
  <c r="G41" i="2"/>
  <c r="F62" i="4"/>
  <c r="F52" i="2" s="1"/>
  <c r="C57" i="4"/>
  <c r="C46" i="2" s="1"/>
  <c r="C42" i="2"/>
  <c r="G75" i="4"/>
  <c r="G64" i="2" s="1"/>
  <c r="G77" i="4"/>
  <c r="G66" i="2" s="1"/>
  <c r="G62" i="2"/>
  <c r="H73" i="4"/>
  <c r="I33" i="1"/>
  <c r="J33" i="1" s="1"/>
  <c r="J32" i="1"/>
  <c r="H40" i="1"/>
  <c r="H66" i="1"/>
  <c r="H21" i="2"/>
  <c r="H36" i="4"/>
  <c r="H62" i="4" s="1"/>
  <c r="H52" i="2" s="1"/>
  <c r="I52" i="4"/>
  <c r="I41" i="2" s="1"/>
  <c r="F40" i="1"/>
  <c r="F66" i="1"/>
  <c r="J52" i="1"/>
  <c r="G23" i="2"/>
  <c r="G44" i="4"/>
  <c r="G46" i="1"/>
  <c r="G53" i="1" s="1"/>
  <c r="G58" i="1" s="1"/>
  <c r="G65" i="1"/>
  <c r="D42" i="2"/>
  <c r="D57" i="4"/>
  <c r="F32" i="2"/>
  <c r="F49" i="4"/>
  <c r="C58" i="1"/>
  <c r="E42" i="2"/>
  <c r="E57" i="4"/>
  <c r="I34" i="4"/>
  <c r="I19" i="2"/>
  <c r="J19" i="2" s="1"/>
  <c r="G68" i="4" l="1"/>
  <c r="G57" i="2"/>
  <c r="G58" i="2"/>
  <c r="G67" i="4"/>
  <c r="G61" i="4"/>
  <c r="G51" i="2" s="1"/>
  <c r="G69" i="4"/>
  <c r="G56" i="2"/>
  <c r="I20" i="2"/>
  <c r="J20" i="2" s="1"/>
  <c r="J34" i="4"/>
  <c r="J52" i="4"/>
  <c r="J41" i="2"/>
  <c r="E46" i="2"/>
  <c r="F46" i="1"/>
  <c r="F65" i="1"/>
  <c r="D46" i="2"/>
  <c r="D58" i="4"/>
  <c r="I34" i="1"/>
  <c r="H23" i="2"/>
  <c r="H44" i="4"/>
  <c r="F37" i="2"/>
  <c r="F53" i="4"/>
  <c r="H46" i="1"/>
  <c r="H53" i="1" s="1"/>
  <c r="H58" i="1" s="1"/>
  <c r="H65" i="1"/>
  <c r="H77" i="4"/>
  <c r="H66" i="2" s="1"/>
  <c r="H75" i="4"/>
  <c r="H64" i="2" s="1"/>
  <c r="H62" i="2"/>
  <c r="G32" i="2"/>
  <c r="G49" i="4"/>
  <c r="I35" i="4"/>
  <c r="J35" i="4" s="1"/>
  <c r="H57" i="2" l="1"/>
  <c r="H61" i="4"/>
  <c r="H51" i="2" s="1"/>
  <c r="H69" i="4"/>
  <c r="H67" i="4"/>
  <c r="H58" i="2"/>
  <c r="H68" i="4"/>
  <c r="H56" i="2"/>
  <c r="E58" i="4"/>
  <c r="D47" i="2"/>
  <c r="D59" i="4"/>
  <c r="G37" i="2"/>
  <c r="G53" i="4"/>
  <c r="F42" i="2"/>
  <c r="F57" i="4"/>
  <c r="H32" i="2"/>
  <c r="H49" i="4"/>
  <c r="I35" i="1"/>
  <c r="J34" i="1"/>
  <c r="I36" i="4"/>
  <c r="I21" i="2"/>
  <c r="J21" i="2" s="1"/>
  <c r="I73" i="4"/>
  <c r="F53" i="1"/>
  <c r="I62" i="4" l="1"/>
  <c r="I52" i="2" s="1"/>
  <c r="J36" i="4"/>
  <c r="F46" i="2"/>
  <c r="I77" i="4"/>
  <c r="I66" i="2" s="1"/>
  <c r="I75" i="4"/>
  <c r="I64" i="2" s="1"/>
  <c r="I62" i="2"/>
  <c r="I40" i="1"/>
  <c r="I66" i="1"/>
  <c r="J35" i="1"/>
  <c r="H53" i="4"/>
  <c r="H37" i="2"/>
  <c r="G42" i="2"/>
  <c r="G57" i="4"/>
  <c r="G46" i="2" s="1"/>
  <c r="F58" i="1"/>
  <c r="I23" i="2"/>
  <c r="J23" i="2" s="1"/>
  <c r="I44" i="4"/>
  <c r="D48" i="2"/>
  <c r="D22" i="2"/>
  <c r="F58" i="4"/>
  <c r="E47" i="2"/>
  <c r="E59" i="4"/>
  <c r="I61" i="4" l="1"/>
  <c r="I51" i="2" s="1"/>
  <c r="I67" i="4"/>
  <c r="I68" i="4"/>
  <c r="I69" i="4"/>
  <c r="I57" i="2"/>
  <c r="I56" i="2"/>
  <c r="I58" i="2"/>
  <c r="J44" i="4"/>
  <c r="I49" i="4"/>
  <c r="J49" i="4" s="1"/>
  <c r="I32" i="2"/>
  <c r="J32" i="2" s="1"/>
  <c r="F61" i="1"/>
  <c r="H42" i="2"/>
  <c r="H57" i="4"/>
  <c r="H46" i="2" s="1"/>
  <c r="I46" i="1"/>
  <c r="I65" i="1"/>
  <c r="J40" i="1"/>
  <c r="E48" i="2"/>
  <c r="E22" i="2"/>
  <c r="G58" i="4"/>
  <c r="F47" i="2"/>
  <c r="F59" i="4"/>
  <c r="G61" i="1" l="1"/>
  <c r="F62" i="1"/>
  <c r="I53" i="4"/>
  <c r="J53" i="4" s="1"/>
  <c r="I37" i="2"/>
  <c r="J37" i="2" s="1"/>
  <c r="F48" i="2"/>
  <c r="F22" i="2"/>
  <c r="H58" i="4"/>
  <c r="G47" i="2"/>
  <c r="G59" i="4"/>
  <c r="I53" i="1"/>
  <c r="J46" i="1"/>
  <c r="I58" i="1" l="1"/>
  <c r="J58" i="1" s="1"/>
  <c r="J53" i="1"/>
  <c r="G48" i="2"/>
  <c r="G22" i="2"/>
  <c r="H47" i="2"/>
  <c r="H59" i="4"/>
  <c r="I57" i="4"/>
  <c r="I42" i="2"/>
  <c r="J42" i="2" s="1"/>
  <c r="H61" i="1"/>
  <c r="G62" i="1"/>
  <c r="I46" i="2" l="1"/>
  <c r="J46" i="2" s="1"/>
  <c r="J57" i="4"/>
  <c r="I58" i="4"/>
  <c r="I47" i="2" s="1"/>
  <c r="I59" i="4"/>
  <c r="I61" i="1"/>
  <c r="I62" i="1" s="1"/>
  <c r="H62" i="1"/>
  <c r="H48" i="2"/>
  <c r="H22" i="2"/>
  <c r="I48" i="2" l="1"/>
  <c r="I22" i="2"/>
</calcChain>
</file>

<file path=xl/sharedStrings.xml><?xml version="1.0" encoding="utf-8"?>
<sst xmlns="http://schemas.openxmlformats.org/spreadsheetml/2006/main" count="800" uniqueCount="460">
  <si>
    <t>Repris automatiquement sur la notice financière</t>
  </si>
  <si>
    <t>Hypothèses de modélisation à renseigner</t>
  </si>
  <si>
    <t>Voir commentaires sur la cellule</t>
  </si>
  <si>
    <t>À calculer et saisir par l'implantation en fonction du taux</t>
  </si>
  <si>
    <t>À renseigner en fonction des éléments communiqués par le client</t>
  </si>
  <si>
    <t>À renseigner par l'implantation : amortissement en capital</t>
  </si>
  <si>
    <t>Hypothèses retenues pour les modalités de financement</t>
  </si>
  <si>
    <t>M XOF — Exercice 12 mois</t>
  </si>
  <si>
    <t>2024</t>
  </si>
  <si>
    <t>2025</t>
  </si>
  <si>
    <t>2026</t>
  </si>
  <si>
    <t>2027</t>
  </si>
  <si>
    <t>2028</t>
  </si>
  <si>
    <t>2029</t>
  </si>
  <si>
    <t>2030</t>
  </si>
  <si>
    <t>Total / Moy.</t>
  </si>
  <si>
    <t>Audité</t>
  </si>
  <si>
    <t>Provisoire</t>
  </si>
  <si>
    <t>Projeté</t>
  </si>
  <si>
    <t>CHIFFRE D'AFFAIRES</t>
  </si>
  <si>
    <t xml:space="preserve">    Hypothèse d'évolution du CA</t>
  </si>
  <si>
    <t>-</t>
  </si>
  <si>
    <t>CHIFFRE D'AFFAIRES NET</t>
  </si>
  <si>
    <t xml:space="preserve">    Poids achats &amp; var. stocks / CA</t>
  </si>
  <si>
    <t>− Achats &amp; var. stocks de matières</t>
  </si>
  <si>
    <t xml:space="preserve">    Poids frais de personnel / CA</t>
  </si>
  <si>
    <t>− Frais de personnel</t>
  </si>
  <si>
    <t xml:space="preserve">    Poids charges externes / CA</t>
  </si>
  <si>
    <t>− Charges externes</t>
  </si>
  <si>
    <t>+/− Autres produits &amp; charges d'exploitation</t>
  </si>
  <si>
    <t xml:space="preserve">    % EBE/CA calculé</t>
  </si>
  <si>
    <t>EXCÉDENT BRUT D'EXPLOITATION (EBE)</t>
  </si>
  <si>
    <t>DOTATIONS AUX AMORTISSEMENTS</t>
  </si>
  <si>
    <t xml:space="preserve">    Dont moy. amortissements corporels (derniers exercices)</t>
  </si>
  <si>
    <t xml:space="preserve">    Dont amortissements liés aux nouveaux Capex amortissables</t>
  </si>
  <si>
    <t>− Dotations aux amortissements (Total)</t>
  </si>
  <si>
    <t>RÉSULTAT FINANCIER</t>
  </si>
  <si>
    <t xml:space="preserve">    Dont moy. résultat financier (derniers exercices)</t>
  </si>
  <si>
    <t xml:space="preserve">    Dont intérêts financiers liés aux nouvelles dettes</t>
  </si>
  <si>
    <t>+ Résultat financier (Total)</t>
  </si>
  <si>
    <t>+/− Autres produits &amp; charges</t>
  </si>
  <si>
    <t>RÉSULTAT COURANT AVANT IMPÔT</t>
  </si>
  <si>
    <t>− Impôt sur les sociétés (IS)</t>
  </si>
  <si>
    <t>RÉSULTAT NET</t>
  </si>
  <si>
    <t>MARGE BRUTE D'AUTOFINANCEMENT (MBA)</t>
  </si>
  <si>
    <t>VARIATION DU BESOIN EN FONDS DE ROULEMENT (BFR)</t>
  </si>
  <si>
    <t>(1)</t>
  </si>
  <si>
    <t>BFR en jours de CA</t>
  </si>
  <si>
    <t>BFR en montant</t>
  </si>
  <si>
    <t xml:space="preserve">    − Variation BFR (− = besoin supplémentaire)</t>
  </si>
  <si>
    <t>CASH FLOW D'EXPLOITATION  (CFE = MBA − ΔBFR)</t>
  </si>
  <si>
    <t>INVESTISSEMENTS (CAPEX)</t>
  </si>
  <si>
    <t xml:space="preserve">    Capex non amortissables</t>
  </si>
  <si>
    <t xml:space="preserve">    Capex amortissables (liés au financement)</t>
  </si>
  <si>
    <t xml:space="preserve">    − Cessions d'actifs</t>
  </si>
  <si>
    <t>(2)</t>
  </si>
  <si>
    <t>CASH FLOW D'INVESTISSEMENT</t>
  </si>
  <si>
    <t>(1)-(2)</t>
  </si>
  <si>
    <t>FREE CASH FLOW</t>
  </si>
  <si>
    <t>FINANCEMENT &amp; SERVICE DE LA DETTE</t>
  </si>
  <si>
    <t>+ Argent frais (augm. capital / apport CCA bloqué)</t>
  </si>
  <si>
    <t>+ Apports en CCA non bloqués / prêts intragroupe</t>
  </si>
  <si>
    <t>+ Nouvelle dette (SG et confrères)</t>
  </si>
  <si>
    <t xml:space="preserve">    Niveau de distribution dividendes (% du RN N-1)</t>
  </si>
  <si>
    <t xml:space="preserve">    − Dividendes distribués</t>
  </si>
  <si>
    <t>(3)</t>
  </si>
  <si>
    <t>CASH FLOW DISPONIBLE AVANT SERVICE DE LA DETTE</t>
  </si>
  <si>
    <t>(4)</t>
  </si>
  <si>
    <t xml:space="preserve">    Amortissement de dettes — dettes existantes</t>
  </si>
  <si>
    <t xml:space="preserve">    Amortissement de dettes — dettes sollicitées</t>
  </si>
  <si>
    <t xml:space="preserve">    Remboursements CCA non bloqués / Prêts intragroupe</t>
  </si>
  <si>
    <t xml:space="preserve">    Remboursements nouvelles dettes ultérieures éventuelles</t>
  </si>
  <si>
    <t>(5)</t>
  </si>
  <si>
    <t>CASH FLOW DISPONIBLE APRÈS SERVICE DE LA DETTE (CFADS)</t>
  </si>
  <si>
    <t>Valeurs mobilières de placement + Disponible</t>
  </si>
  <si>
    <t>Concours bancaires courants (liquidités CT passif)</t>
  </si>
  <si>
    <t>Niveau de Trésorerie Nette post service de la dette</t>
  </si>
  <si>
    <t xml:space="preserve">    Trésorerie Nette post SDD en % de CA</t>
  </si>
  <si>
    <t>CASH FLOW COVER  (3)/(4)  —  Ratios de couverture du service de la dette</t>
  </si>
  <si>
    <t xml:space="preserve">    Annuité totale (Capital + Intérêts)</t>
  </si>
  <si>
    <t>(3)/(4)</t>
  </si>
  <si>
    <t>DSCR — Cash Flow Cover  (CFE / Annuité)  ✅ norme ≥ 1.2x</t>
  </si>
  <si>
    <t>Couverture MBA / Annuité  ✅ norme ≥ 1.2x</t>
  </si>
  <si>
    <t>Couverture EBE / Annuité  ✅ norme ≥ 1.5x</t>
  </si>
  <si>
    <t>ÉLÉMENTS DE STRUCTURE BILANCIELLE (post financement)</t>
  </si>
  <si>
    <t>Endettement financier brut</t>
  </si>
  <si>
    <t>Dettes financières nettes</t>
  </si>
  <si>
    <t>Ressources propres</t>
  </si>
  <si>
    <t>Quasi Fonds Propres (CCA bloqué)</t>
  </si>
  <si>
    <t>Levier Brut (Endt brut / EBE)</t>
  </si>
  <si>
    <t>Levier Net  (Endt net / EBE)</t>
  </si>
  <si>
    <t>Gearing Brut (Endt brut / RP)</t>
  </si>
  <si>
    <t>Gearing Net  (Endt net / RP)</t>
  </si>
  <si>
    <t>SIPPEC  —  TABLEAU DE FLUX PRÉVISIONNELS &amp; CASH FLOW COVER  |  Montants en M XOF</t>
  </si>
  <si>
    <t>Norme comptable OHADA  |  Comptes audités 2024  |  Hypothèses modélisées — Les cellules jaunes (onglet Hypothèses) font varier l'intégralité des projections</t>
  </si>
  <si>
    <t>◀  HISTORIQUE  ▶</t>
  </si>
  <si>
    <t>◀  PROJECTIONS (varient selon Hypothèses)  ▶</t>
  </si>
  <si>
    <t>TOTAL</t>
  </si>
  <si>
    <t>M XOF</t>
  </si>
  <si>
    <t>2026→2030</t>
  </si>
  <si>
    <t xml:space="preserve">  I.   COMPTE DE RÉSULTAT PRÉVISIONNEL</t>
  </si>
  <si>
    <t xml:space="preserve">      Taux de croissance CA</t>
  </si>
  <si>
    <t xml:space="preserve">      Poids achats / CA</t>
  </si>
  <si>
    <t xml:space="preserve">      − Achats &amp; var. stocks</t>
  </si>
  <si>
    <t xml:space="preserve">      Poids frais personnel / CA</t>
  </si>
  <si>
    <t xml:space="preserve">      − Frais de personnel</t>
  </si>
  <si>
    <t xml:space="preserve">      Poids charges externes / CA</t>
  </si>
  <si>
    <t xml:space="preserve">      − Charges externes</t>
  </si>
  <si>
    <t xml:space="preserve">      EBE / CA (%)</t>
  </si>
  <si>
    <t xml:space="preserve">      − Dotations amortissements</t>
  </si>
  <si>
    <t xml:space="preserve">      + Résultat financier</t>
  </si>
  <si>
    <t xml:space="preserve">      − Impôt sur les sociétés (25%)</t>
  </si>
  <si>
    <t xml:space="preserve">      Marge nette (%)</t>
  </si>
  <si>
    <t xml:space="preserve">  II.  BESOIN EN FONDS DE ROULEMENT (BFR)  —  Calculé par délais</t>
  </si>
  <si>
    <t xml:space="preserve">      Délai clients (jours de CA)</t>
  </si>
  <si>
    <t xml:space="preserve">      Délai stocks (jours de CA)</t>
  </si>
  <si>
    <t xml:space="preserve">      Délai fournisseurs (jours d'achats)</t>
  </si>
  <si>
    <t>BFR en jours de CA  (= Clients + Stocks − Fournisseurs)</t>
  </si>
  <si>
    <t>BFR en montant (M XOF)</t>
  </si>
  <si>
    <t xml:space="preserve">            − Variation BFR</t>
  </si>
  <si>
    <t>CASH FLOW D'EXPLOITATION  (CFE = MBA − Δ BFR)</t>
  </si>
  <si>
    <t xml:space="preserve">  III. INVESTISSEMENTS (CAPEX)</t>
  </si>
  <si>
    <t xml:space="preserve">      − Capex non amortissables</t>
  </si>
  <si>
    <t xml:space="preserve">      − Capex amortissables (liés au financement)</t>
  </si>
  <si>
    <t xml:space="preserve">  IV.  SERVICE DE LA DETTE  —  Tableau d'amortissement intégré</t>
  </si>
  <si>
    <t xml:space="preserve">      + Nouvelle dette débloquée</t>
  </si>
  <si>
    <t xml:space="preserve">      − Dividendes distribués</t>
  </si>
  <si>
    <t>CF DISPONIBLE AVANT SERVICE DE LA DETTE</t>
  </si>
  <si>
    <t xml:space="preserve">            Dont capital remboursé</t>
  </si>
  <si>
    <t xml:space="preserve">            Dont intérêts (encours × taux)</t>
  </si>
  <si>
    <t>ANNUITÉ TOTALE  (Capital + Intérêts)</t>
  </si>
  <si>
    <t>Trésorerie Nette cumulée (M XOF)</t>
  </si>
  <si>
    <t xml:space="preserve">      Trésorerie / CA (%)</t>
  </si>
  <si>
    <t xml:space="preserve">  V.   CASH FLOW COVER  —  Ratios de couverture du service de la dette  (3) / (4)</t>
  </si>
  <si>
    <t>DSCR  —  CFE / Annuité   ✔  Norme ≥ 1.2x</t>
  </si>
  <si>
    <t>Couverture  MBA / Annuité   ✔  Norme ≥ 1.2x</t>
  </si>
  <si>
    <t>Couverture  EBE / Annuité   ✔  Norme ≥ 1.5x</t>
  </si>
  <si>
    <t>STRESS TEST — Sensibilité du DSCR</t>
  </si>
  <si>
    <t>Scénario central  (Base)</t>
  </si>
  <si>
    <t>Scénario pessimiste  (CA −10%)</t>
  </si>
  <si>
    <t>Scénario optimiste  (CA +10%)</t>
  </si>
  <si>
    <t xml:space="preserve">  VI.  STRUCTURE BILANCIELLE POST-FINANCEMENT</t>
  </si>
  <si>
    <t>Ressources propres (cumulées)</t>
  </si>
  <si>
    <t>CCA bloqué résiduel</t>
  </si>
  <si>
    <t>Gearing  (Endt brut / RP)   Norme ≤ 1.0x</t>
  </si>
  <si>
    <t>Leverage  (Endt brut / EBE)   Norme ≤ 2.0x</t>
  </si>
  <si>
    <t>Solvabilité  (RP / Total actif)   Norme ≥ 25%</t>
  </si>
  <si>
    <t>Sources : États financiers audités SIPPEC 31/12/2024 (Expert-comptable TATY Hyppolyte Landry)  |  Hypothèses modélisées — modifier l'onglet Hypothèses pour actualiser les projections  |  SGCI — Direction des Risques de Crédit  |  CREDAPP SIPPEC 03/2026</t>
  </si>
  <si>
    <t>SIPPEC  —  ANALYSE DE LA CAPACITÉ DE REMBOURSEMENT  |  CAS DE BASE vs CAS DÉGRADÉ  |  M XOF</t>
  </si>
  <si>
    <t>CMT/CB/LB 5 000 M XOF  |  DVA 6 mois  |  Maturité 72 mois (6 ans)  |  Taux : à calculer implantation  |  Objet : financement programme investissement 2026 &amp; refinancement  |  CREDAPP SIPPEC 03/2026  —  Mariam ASSOUMOU / Arsène KABLAN</t>
  </si>
  <si>
    <t xml:space="preserve">  I.   PRÉSENTATION DE LA DEMANDE DE CRÉDIT</t>
  </si>
  <si>
    <t>Critère</t>
  </si>
  <si>
    <t>Caractéristique</t>
  </si>
  <si>
    <t>Justification analytique</t>
  </si>
  <si>
    <t>Nature</t>
  </si>
  <si>
    <t>CMT / Crédit-bail / Lease-back</t>
  </si>
  <si>
    <t>Financement d'équipements industriels (plasturgie + peinture) et refinancement de matériels acquis sur fonds propres en 2025/2026.</t>
  </si>
  <si>
    <t>Montant</t>
  </si>
  <si>
    <t>5 000 M XOF (71% du projet)</t>
  </si>
  <si>
    <t>Montant global du programme : 7 000 M XOF. Autofinancement client : 2 000 M XOF (29%) financés sur flux d'activité. Cohérent avec la capacité de MBA du client (~5 000-6 000 M XOF/an).</t>
  </si>
  <si>
    <t>Différé en capital</t>
  </si>
  <si>
    <t>6 mois (DVA)</t>
  </si>
  <si>
    <t>Différé justifié par les délais de livraison et mise en service des équipements importés (fournisseurs européens et américains). Permet de ne pas peser sur la trésorerie pendant la phase d'installation.</t>
  </si>
  <si>
    <t>Durée</t>
  </si>
  <si>
    <t>72 mois (6 ans)</t>
  </si>
  <si>
    <t>Durée alignée sur la durée de vie économique des équipements (10 ans en normes OHADA). Un ratio durée/vie éco de 60% est prudent. Durée cohérente avec la MBA annuelle projetée de 5 500-6 500 M XOF.</t>
  </si>
  <si>
    <t>Objet du financement</t>
  </si>
  <si>
    <t>Plasturgie : lignes PEHD, fileuses, extrudeuses, presses injection — Peinture : unité de production vinylique VIBROFAC</t>
  </si>
  <si>
    <t>Investissements visant à porter la capacité de production de 60 000 à 117 700 tonnes (+57 700 T), soit +96%. Impact direct sur le CA : volume additionnel estimé à +20-25% à terme. Fournisseurs certifiés (WEBER, SICA, NOZUMI, EVERPLAST).</t>
  </si>
  <si>
    <t>Encours CMT existant à revoir</t>
  </si>
  <si>
    <t>4 590 M XOF</t>
  </si>
  <si>
    <t>Encours issu de CMT antérieurs finançant les investissements initiaux. La revue est justifiée par la consolidation de la relation et la restructuration du profil de dette pour alléger les annuités sur la période de montée en régime des nouveaux investissements.</t>
  </si>
  <si>
    <t>Garanties</t>
  </si>
  <si>
    <t>À préciser — DSRA ≥ 2 échéances recommandé</t>
  </si>
  <si>
    <t>Compte tenu du BFR structurellement élevé (délais clients publics) et de la trésorerie déficitaire en 2026, la constitution d'un DSRA (Debt Service Reserve Account) équivalent à 2 échéances (capital + intérêts) est recommandée comme condition préalable au déblocage.</t>
  </si>
  <si>
    <t xml:space="preserve">  II.  HYPOTHÈSES COMPARÉES  —  CAS DE BASE (Client) vs CAS DÉGRADÉ (SGCI)</t>
  </si>
  <si>
    <t>Rubrique</t>
  </si>
  <si>
    <t>Justification analytique du cas dégradé</t>
  </si>
  <si>
    <t>2031</t>
  </si>
  <si>
    <t>2032</t>
  </si>
  <si>
    <t>CAS BASE</t>
  </si>
  <si>
    <t>CAS DÉGRADÉ</t>
  </si>
  <si>
    <t>Croissance du CA</t>
  </si>
  <si>
    <t>Le cas dégradé retient un CA stable à 0% sur toute la durée du prêt, soit le niveau provisoire 2025 (43 107 M XOF). Justification : (1) La clientèle BTP/infrastructure est cyclique et sensible aux arbitrages budgétaires de l'État. (2) Le secteur est exposé à la concurrence informelle et aux importations asiatiques à bas coût. (3) Les retards de paiement des donneurs d'ordre publics (SODECI, CIE, ISTD) créent des tensions de trésorerie pouvant freiner la capacité de production. (4) Le cas MRAC a démontré qu'un CA stable donne un DSCR de 1,04x — toute contraction de CA entraînerait un passage sous 1,0x. Retenir 0% est donc le scénario de résistance structurelle.</t>
  </si>
  <si>
    <t>Poids achats / CA</t>
  </si>
  <si>
    <t>Le cas dégradé retient 66% (vs 58% client / 63% MRAC). Justification : (1) L'amélioration de la marge brute à 40% en 2024 est un effet déstockage non récurrent — le taux d'achats normatif sur les 4 derniers exercices est de 63-66%. (2) En cas de reprise normale du cycle d'achat avec des matières premières PVC/PEHD importées (volatilité des prix internationaux + risque de change EUR/USD), le poids des achats peut se tendre vers 66-68%. (3) Le dégradé se cale sur la moyenne 2022-2023 qui est le reflet d'une activité normalisée sans effet déstockage.</t>
  </si>
  <si>
    <t>Poids frais de personnel / CA</t>
  </si>
  <si>
    <t>Le cas dégradé retient 13% (vs 10-11% client / 11% MRAC). Justification : (1) Les nouveaux investissements (+57 700 T de capacité) nécessitent des recrutements opérationnels et techniques. (2) Le plan d'expansion annoncé prévoit de porter les effectifs à 3 000 personnes (vs ~600 aujourd'hui), ce qui représente un choc de masse salariale significatif sur la période. (3) En cas de montée progressive des effectifs, le ratio FP/CA peut s'élever à 12-13% avant que le CA additionnel ne compense la charge.</t>
  </si>
  <si>
    <t>Poids charges externes / CA</t>
  </si>
  <si>
    <t>Le cas dégradé retient 9% (vs 11% client / 7% MRAC). Justification : (1) Les nouveaux équipements génèrent des coûts de maintenance, garantie et assurance supplémentaires. (2) L'extension géographique (10+ pays) implique des coûts logistiques croissants. (3) Le taux de 9% est un compromis entre le cas MRAC (7%) et le cas client (11%) et reflète la réalité d'une entreprise industrielle en phase d'expansion.</t>
  </si>
  <si>
    <t>Marge EBE/CA résultante</t>
  </si>
  <si>
    <t>Le cas dégradé génère une marge EBE de ~12% (vs ~19% client / ~17% MRAC). Ce niveau correspond à une compression simultanée des marges (achats élevés) et des charges (FP en hausse). C'est le scénario où la montée en charge des investissements ne se traduit pas encore en volume additionnel de CA mais génère déjà des coûts opérationnels.</t>
  </si>
  <si>
    <t>BFR (jours de CA)</t>
  </si>
  <si>
    <t>Le cas dégradé retient 265 jours (vs 251j client/MRAC). Justification : (1) En cas de CA stable, les délais clients publics restent structurellement élevés à 180+ jours sans amélioration contractuelle. (2) L'élargissement de l'activité vers de nouveaux marchés sous-régionaux (Burkina, Mali, Niger) peut allonger les délais de recouvrement. (3) 265j = délai clients 190j + stocks 155j − fournisseurs 80j. C'est le niveau observé en 2024 légèrement dégradé pour tenir compte de l'environnement sous-régional post-crise sécuritaire.</t>
  </si>
  <si>
    <t>Capex de maintien annuel (M XOF)</t>
  </si>
  <si>
    <t>Le cas dégradé retient 700 M XOF/an identique au cas de base. Justification : ce niveau est conservé car il correspond à ~10% du coût du projet (7 000 M XOF), ce qui est le standard industriel pour le maintien d'équipements de production plastique et chimique. Toute réduction en-deçà de ce seuil exposerait la société à une dégradation de la performance technique des unités de production.</t>
  </si>
  <si>
    <t>Amortissements (M XOF)</t>
  </si>
  <si>
    <t>Le cas dégradé retient les mêmes dotations que le cas de base car elles découlent directement des investissements réalisés (plan d'amortissement fixe — durée 10 ans OHADA). Les dotations augmentent progressivement avec la mise en service des équipements.</t>
  </si>
  <si>
    <t>Taux de distribution dividendes</t>
  </si>
  <si>
    <t>0% maintenu en cas dégradé. La politique de mise en réserve intégrale observée sur 2022-2024 est un signal fort de discipline financière des actionnaires. Elle doit être maintenue comme condition implicite du financement : tout versement de dividendes en période de tension de trésorerie serait un facteur aggravant.</t>
  </si>
  <si>
    <t xml:space="preserve">  III. PROJECTIONS FINANCIÈRES COMPARÉES  (M XOF)  —  Durée du crédit 2026→2032</t>
  </si>
  <si>
    <t>DÉGRADÉ</t>
  </si>
  <si>
    <t>CHIFFRE D'AFFAIRES (M XOF)</t>
  </si>
  <si>
    <t xml:space="preserve">  Taux EBE/CA (%)</t>
  </si>
  <si>
    <t>EXCÉDENT BRUT D'EXPLOITATION</t>
  </si>
  <si>
    <t xml:space="preserve">  − Dotations amortissements</t>
  </si>
  <si>
    <t xml:space="preserve">  + Résultat financier</t>
  </si>
  <si>
    <t xml:space="preserve">  BFR (jours de CA)</t>
  </si>
  <si>
    <t xml:space="preserve">  − Variation BFR</t>
  </si>
  <si>
    <t>CASH FLOW D'EXPLOITATION</t>
  </si>
  <si>
    <t xml:space="preserve">  − Capex de maintien</t>
  </si>
  <si>
    <t xml:space="preserve">  Annuité totale (Capital + Intérêts)</t>
  </si>
  <si>
    <t>CFADS — CF APRÈS SERVICE DE LA DETTE</t>
  </si>
  <si>
    <t xml:space="preserve">  Trésorerie cumulée</t>
  </si>
  <si>
    <t>DSCR  (CFE / Annuité)  — Norme ≥ 1.0x</t>
  </si>
  <si>
    <t xml:space="preserve">  Couverture MBA / Annuité</t>
  </si>
  <si>
    <t xml:space="preserve">  IV.  CONCLUSION ANALYTIQUE — CAPACITÉ DE REMBOURSEMENT</t>
  </si>
  <si>
    <t>CAS DE BASE</t>
  </si>
  <si>
    <t>✅  FAVORABLE</t>
  </si>
  <si>
    <t>Le cas de base du client fait ressortir des DSCR supérieurs à 1,0x sur toute la durée du crédit, avec un minimum de 1,08x en 2026 (année critique post-déblocage) et une amélioration progressive jusqu'à 4,85x en 2031. La MBA croissante (&gt;5 000 M XOF/an) couvre largement le service de la dette dès 2027. La trésorerie est déficitaire en 2026 (-906 M XOF) sous le poids du service de la dette et du BFR, mais est couverte par les lignes d'exploitation du pool bancaire (lignes décaissables 1 000 M XOF dans nos livres).</t>
  </si>
  <si>
    <t>⚠️  TENDU — DSCR MINIMUM EN 2026</t>
  </si>
  <si>
    <t>Le cas dégradé (CA stable 0%, achats à 66%, FP à 13%, BFR à 265j) fait ressortir un DSCR de l'ordre de 0,8-0,9x en 2026, passant au-dessus de 1,0x à partir de 2027 grâce à la réduction de l'encours de dette. La trésorerie reste structurellement déficitaire sur toute la période. Ce scénario confirme que la structure du financement repose sur : (1) le maintien du CCA bloqué à 25 057 M XOF, (2) la stabilité du pool bancaire, (3) l'amélioration progressive des délais de paiement des clients publics. Il valide la nécessité d'un DSRA ≥ 2 échéances.</t>
  </si>
  <si>
    <t>CONCLUSION GLOBALE</t>
  </si>
  <si>
    <t>📌  AVIS CONDITIONNEL FAVORABLE</t>
  </si>
  <si>
    <t>Sur la base de l'analyse, la capacité de remboursement de SIPPEC est jugée ACCEPTABLE sous conditions. La société génère une MBA structurellement croissante et suffisante pour assurer le service de la dette dans le cas central. Le principal risque n'est pas un risque de solvabilité mais un risque de liquidité à court terme (2026), couvert par les concours bancaires du pool. Conditions préalables recommandées : (1) DSRA ≡ 2 échéances avant 1er déblocage. (2) CCA bloqué maintenu pendant toute la durée du crédit (acte notarié). (3) Nantissement des équipements financés. (4) Remontée du niveau de flux vers 50% de la part SGCI dans le pool.</t>
  </si>
  <si>
    <t>Sources : États financiers audités 31/12/2024 (TATY Hyppolyte Landry, Expert-Comptable)  |  Chiffres provisoires 31/12/2025  |  Hypothèses modélisées par SGCI — Direction des Risques  |  CREDAPP SIPPEC 03/2026  —  Pages 14-18/21</t>
  </si>
  <si>
    <t>SIPPEC — MODÈLE AMÉLIORÉ  |  Toutes les projections varient dynamiquement avec les Hypothèses</t>
  </si>
  <si>
    <t>Vert = repris auto depuis Modèle Original (historique)</t>
  </si>
  <si>
    <t>Jaune = hypothèse à renseigner dans l'onglet Hypothèses</t>
  </si>
  <si>
    <t>Bleu = paramètre amortissement capital (saisie implantation)</t>
  </si>
  <si>
    <t>Rouge = calculé par l'implantation selon taux</t>
  </si>
  <si>
    <t>Vert clair = résultat calculé dynamiquement</t>
  </si>
  <si>
    <t>Orange = alerte : ratio sous la norme</t>
  </si>
  <si>
    <t>Total proj.</t>
  </si>
  <si>
    <t>Amélioration vs Modèle Original</t>
  </si>
  <si>
    <t>I.  CHIFFRE D'AFFAIRES &amp; MARGES  ⚡ Amélioration #9 : marge brute normalisée en projection</t>
  </si>
  <si>
    <t xml:space="preserve">    Hypothèse de croissance CA</t>
  </si>
  <si>
    <t>→ Liée à Hypothèses!B10-B12</t>
  </si>
  <si>
    <t xml:space="preserve">    Poids achats / CA  ⚡ Normalisé en projection (≠ effet déstockage 2024)</t>
  </si>
  <si>
    <t>Hyp!B15 = taux normalisé. 2024 figé à 62.6% (déstockage)</t>
  </si>
  <si>
    <t xml:space="preserve">    Poids frais personnel / CA</t>
  </si>
  <si>
    <t>→ Hypothèses!B16</t>
  </si>
  <si>
    <t>→ Hypothèses!B17</t>
  </si>
  <si>
    <t>+/− Autres produits &amp; charges exploitation</t>
  </si>
  <si>
    <t>0</t>
  </si>
  <si>
    <t xml:space="preserve">    Taux EBE/CA  ✅ cible ≥ 17%</t>
  </si>
  <si>
    <t>Contrôle automatique vs norme 17%</t>
  </si>
  <si>
    <t>II.  DOTATIONS AUX AMORTISSEMENTS  ⚡ Amélioration #6 : intégration dynamique des nouveaux Capex</t>
  </si>
  <si>
    <t xml:space="preserve">    Amortissements sur immobilisations existantes (moy.)</t>
  </si>
  <si>
    <t>→ Hypothèses!B20 (moy. hist.)</t>
  </si>
  <si>
    <t xml:space="preserve">    Amort. nouveaux Capex  ⚡ Calculé = ΣCapex / Durée (dès mise en service)</t>
  </si>
  <si>
    <t>Somme Capex_i/Durée_i pour chaque ligne</t>
  </si>
  <si>
    <t>− Dotations totales aux amortissements</t>
  </si>
  <si>
    <t>III.  RÉSULTAT FINANCIER  ⚡ Amélioration #2 : frais financiers calculés sur encours résiduel × taux</t>
  </si>
  <si>
    <t xml:space="preserve">    Encours dette résiduel (dette existante + nouvelle)</t>
  </si>
  <si>
    <t>Encours = dette N-1 − capital remboursé</t>
  </si>
  <si>
    <t xml:space="preserve">    FF sur dette existante (moy. historique)</t>
  </si>
  <si>
    <t xml:space="preserve">    Intérêts nouvelles dettes  ⚡ = Encours début × Taux</t>
  </si>
  <si>
    <t>+ Résultat financier total</t>
  </si>
  <si>
    <t>− IS (Hypothèses!B34 = 25%)</t>
  </si>
  <si>
    <t>→ Hypothèses!B34</t>
  </si>
  <si>
    <t>IV.  BFR ENDOGÈNE  ⚡ Amélioration #3 : BFR calculé par délais (clients + stocks − fournis.) × CA/365</t>
  </si>
  <si>
    <t xml:space="preserve">    Délai clients (j) — depuis Hypothèses</t>
  </si>
  <si>
    <t>181</t>
  </si>
  <si>
    <t>153</t>
  </si>
  <si>
    <t>→ Hypothèses!B23</t>
  </si>
  <si>
    <t xml:space="preserve">    Délai stocks (j)</t>
  </si>
  <si>
    <t>137</t>
  </si>
  <si>
    <t>177</t>
  </si>
  <si>
    <t>→ Hypothèses!B24</t>
  </si>
  <si>
    <t xml:space="preserve">    Délai fournisseurs (j d'achats)</t>
  </si>
  <si>
    <t>133</t>
  </si>
  <si>
    <t>→ Hypothèses!B25</t>
  </si>
  <si>
    <t>BFR en jours de CA  ⚡ = Clients + Stocks − Fournisseurs</t>
  </si>
  <si>
    <t>Calculé dynamiquement (≠ jours fixes)</t>
  </si>
  <si>
    <t>BFR en montant  ⚡ = BFR_j × CA / 365</t>
  </si>
  <si>
    <t xml:space="preserve">    − Variation BFR</t>
  </si>
  <si>
    <t>V.  INVESTISSEMENTS (CAPEX)  ⚡ Capex liés depuis Hypothèses!E section</t>
  </si>
  <si>
    <t xml:space="preserve">    Capex amortissables (depuis Hypothèses!E)</t>
  </si>
  <si>
    <t>→ Somme Hypothèses!B39:B41</t>
  </si>
  <si>
    <t>VI.  SERVICE DE LA DETTE  ⚡ Améliorations #1+#2 : tableau d'amort. intégré, annuité calculée sur encours réel</t>
  </si>
  <si>
    <t>+ Nouvelle dette débloquée</t>
  </si>
  <si>
    <t>→ Hypothèses!B29</t>
  </si>
  <si>
    <t xml:space="preserve">    Dividendes distribués (% RN N-1 depuis Hypothèses)</t>
  </si>
  <si>
    <t>→ Hypothèses!B35 (div. rate)</t>
  </si>
  <si>
    <t xml:space="preserve">    Capital remboursé  ⚡ = Montant / (Durée − Différé) avec différé</t>
  </si>
  <si>
    <t>Différé géré via Hypothèses!B32</t>
  </si>
  <si>
    <t xml:space="preserve">    Intérêts  ⚡ = Encours début × Taux (dynamique)</t>
  </si>
  <si>
    <t>CFADS — CF DISPO APRÈS SERVICE DE LA DETTE</t>
  </si>
  <si>
    <t>Trésorerie Nette cumulée</t>
  </si>
  <si>
    <t xml:space="preserve">    Trésorerie / CA (%)</t>
  </si>
  <si>
    <t>VII.  RATIOS DE COUVERTURE  ⚡ Améliorations #4+#8 : DSCR + EBE/Annuité + 3 scénarios</t>
  </si>
  <si>
    <t>DSCR  (CFE / Annuité)  ✅ norme ≥ 1.2x</t>
  </si>
  <si>
    <t>Norme bancaire : ≥ 1.2x sur toute la durée</t>
  </si>
  <si>
    <t>Mesure la capacité d'autofinancement</t>
  </si>
  <si>
    <t>⚡ Couverture EBE / Annuité  ✅ norme ≥ 1.5x  (ajout #8)</t>
  </si>
  <si>
    <t>Plus stable que CFE car non affecté par ΔBFRn</t>
  </si>
  <si>
    <t>VIII.  STRESS TEST  ⚡ Amélioration #4 : impact sur DSCR de 3 scénarios  (CA±10%, marges compressées)</t>
  </si>
  <si>
    <t>Les DSCR ci-dessous simulent un choc — les autres paramètres restent identiques</t>
  </si>
  <si>
    <t>Scénario</t>
  </si>
  <si>
    <t>Description</t>
  </si>
  <si>
    <t>Note</t>
  </si>
  <si>
    <t>📌 Base</t>
  </si>
  <si>
    <t>CA = Hypothèses</t>
  </si>
  <si>
    <t>Scénario central</t>
  </si>
  <si>
    <t>📉 Pessimiste</t>
  </si>
  <si>
    <t>CA −10%, EBE −15%</t>
  </si>
  <si>
    <t>Choc activité −10%</t>
  </si>
  <si>
    <t>📈 Optimiste</t>
  </si>
  <si>
    <t>CA +10%, EBE +10%</t>
  </si>
  <si>
    <t>Upside +10%</t>
  </si>
  <si>
    <t>IX.  STRUCTURE BILANCIELLE  ⚡ Amélioration #7 : simulation déblocage partiel CCA</t>
  </si>
  <si>
    <t xml:space="preserve">    % déblocage CCA simulé  ⚡ (0% = aucun déblocage)</t>
  </si>
  <si>
    <t>Modifier pour tester impact sur solvabilité</t>
  </si>
  <si>
    <t>Impact immédiat si déblocage partiel</t>
  </si>
  <si>
    <t>Ressources propres (RP cumulées)</t>
  </si>
  <si>
    <t>Gearing  (Endt brut / RP)</t>
  </si>
  <si>
    <t>Norme ≤ 1.0x</t>
  </si>
  <si>
    <t>Leverage (Endt brut / EBE)</t>
  </si>
  <si>
    <t>Norme ≤ 2.0x</t>
  </si>
  <si>
    <t>Solvabilité (RP / Total actif estimé)</t>
  </si>
  <si>
    <t>Norme ≥ 25%</t>
  </si>
  <si>
    <t>SIPPEC — HYPOTHÈSES DE MODÉLISATION  |  À renseigner avant projection</t>
  </si>
  <si>
    <t>🔵  Cellule bleue = INPUT à saisir (hardcodé)</t>
  </si>
  <si>
    <t>🟡  Fond jaune = hypothèse critique à valider avec le chargé d'affaires</t>
  </si>
  <si>
    <t>🟢  Fond vert = calculé automatiquement (ne pas modifier)</t>
  </si>
  <si>
    <t>🔴  Fond orange = paramètre lié au financement sollicité</t>
  </si>
  <si>
    <t>A.  ACTIVITÉ — Hypothèses de croissance</t>
  </si>
  <si>
    <t>CA base 2024 (M XOF) — exercice audité</t>
  </si>
  <si>
    <t>Source: États financiers audités 31/12/2024</t>
  </si>
  <si>
    <t>CA provisoire 2025 (M XOF)</t>
  </si>
  <si>
    <t>Source: Chiffres provisoires client</t>
  </si>
  <si>
    <t>Taux de croissance CA 2026</t>
  </si>
  <si>
    <t>Hypothèse : tendance 2024-2025 +7-11% / à valider CA</t>
  </si>
  <si>
    <t>Taux de croissance CA 2027</t>
  </si>
  <si>
    <t>Taux de croissance CA 2028-2030 (taux terminal)</t>
  </si>
  <si>
    <t>Hypothèse conservatrice long terme</t>
  </si>
  <si>
    <t>B.  MARGES &amp; CHARGES — Poids en % du CA</t>
  </si>
  <si>
    <t>Achats &amp; var. stocks / CA</t>
  </si>
  <si>
    <t>2024 : 63% (vs 75% en 2023) — effet déstockage à normaliser</t>
  </si>
  <si>
    <t>Frais de personnel / CA</t>
  </si>
  <si>
    <t>2024 : 12,15% — stable sur la période</t>
  </si>
  <si>
    <t>Charges externes / CA</t>
  </si>
  <si>
    <t>2024 : 7,25% — stable</t>
  </si>
  <si>
    <t>Autres produits &amp; charges exploit. / CA</t>
  </si>
  <si>
    <t>À renseigner selon données client</t>
  </si>
  <si>
    <t>Taux d'EBE/CA cible (contrôle)</t>
  </si>
  <si>
    <t>Calculé : doit converger vers 17% historique</t>
  </si>
  <si>
    <t>Dotations amort. corporels moy. (M XOF)</t>
  </si>
  <si>
    <t>Moyenne des 3 derniers exercices</t>
  </si>
  <si>
    <t>C.  BFR — Hypothèses de délais</t>
  </si>
  <si>
    <t>Délai clients (jours de CA)</t>
  </si>
  <si>
    <t>2024 : 181j / 2025P : 153j — retenir 175j prudent</t>
  </si>
  <si>
    <t>Délai stocks (jours de CA)</t>
  </si>
  <si>
    <t>2024 : 137j — légère hausse projetée</t>
  </si>
  <si>
    <t>Délai fournisseurs (jours d'achats)</t>
  </si>
  <si>
    <t>2024 : 133j — maintien</t>
  </si>
  <si>
    <t>BFR en jours de CA (contrôle)</t>
  </si>
  <si>
    <t>Référence 2024 auditée</t>
  </si>
  <si>
    <t>D.  FINANCEMENT SOLLICITÉ</t>
  </si>
  <si>
    <t>Montant du crédit sollicité (M XOF)</t>
  </si>
  <si>
    <t>À renseigner</t>
  </si>
  <si>
    <t>Durée (années)</t>
  </si>
  <si>
    <t>Taux d'intérêt annuel</t>
  </si>
  <si>
    <t>À calculer par l'implantation</t>
  </si>
  <si>
    <t>Différé en capital (années)</t>
  </si>
  <si>
    <t>À renseigner selon modalités</t>
  </si>
  <si>
    <t>Date de mise en place</t>
  </si>
  <si>
    <t>Taux IS applicable</t>
  </si>
  <si>
    <t>Taux OHADA CI : 25%</t>
  </si>
  <si>
    <t>Taux de distribution des dividendes</t>
  </si>
  <si>
    <t>0% : politique de mise en réserve observée</t>
  </si>
  <si>
    <t>E.  CAPEX LIÉS À L'INVESTISSEMENT</t>
  </si>
  <si>
    <t>Description du Capex</t>
  </si>
  <si>
    <t>Montant (M XOF)</t>
  </si>
  <si>
    <t>Durée amort. (années)</t>
  </si>
  <si>
    <t>Unité de production peinture vinylique</t>
  </si>
  <si>
    <t>Renforcement capacité PEHD 250</t>
  </si>
  <si>
    <t>Autres Capex (à préciser)</t>
  </si>
  <si>
    <t>SIPPEC — PROJECTIONS CASH FLOW  |  M XOF  |  2024 Audité / 2025P / 2026-2030 Projeté</t>
  </si>
  <si>
    <t>Vert foncé = Données historiques auditées</t>
  </si>
  <si>
    <t>Bleu clair = Données provisoires 2025</t>
  </si>
  <si>
    <t>Blanc = Projections modélisées</t>
  </si>
  <si>
    <t>Gris = Soldes / totaux intermédiaires</t>
  </si>
  <si>
    <t>M XOF / Exercice (12 mois)</t>
  </si>
  <si>
    <t>I.  COMPTE DE RÉSULTAT PRÉVISIONNEL</t>
  </si>
  <si>
    <t>Chiffre d'Affaires (CA)</t>
  </si>
  <si>
    <t xml:space="preserve">      − Achats &amp; var. stocks (% CA)</t>
  </si>
  <si>
    <t>VALEUR AJOUTÉE</t>
  </si>
  <si>
    <t xml:space="preserve">      Taux EBE/CA (%)</t>
  </si>
  <si>
    <t xml:space="preserve">      − Dotations aux amortissements</t>
  </si>
  <si>
    <t>RÉSULTAT D'EXPLOITATION (EBIT)</t>
  </si>
  <si>
    <t xml:space="preserve">      + Résultat financier (moy. hist.)</t>
  </si>
  <si>
    <t xml:space="preserve">      MBA/CA (%)</t>
  </si>
  <si>
    <t>II.  BFR &amp; CASH FLOW D'EXPLOITATION</t>
  </si>
  <si>
    <t xml:space="preserve">  Variation du BFR (− = besoin additionnel)</t>
  </si>
  <si>
    <t>CASH FLOW D'EXPLOITATION (CFE = MBA − ΔBFR)</t>
  </si>
  <si>
    <t xml:space="preserve">      CFE / CA (%)</t>
  </si>
  <si>
    <t>III.  SERVICE DE LA DETTE (à paramétrer dans Hypothèses)</t>
  </si>
  <si>
    <t>⚠  Les annuités ci-dessous sont des PLACEHOLDERS — à remplacer par le tableau d'amortissement réel</t>
  </si>
  <si>
    <t xml:space="preserve">      − Intérêts sur nouvelle dette</t>
  </si>
  <si>
    <t xml:space="preserve">      − Remboursement en capital</t>
  </si>
  <si>
    <t>ANNUITÉ TOTALE (Capital + Intérêts)</t>
  </si>
  <si>
    <t>IV.  CASH FLOW DISPONIBLE APRÈS SERVICE DE LA DETTE (CFADS)</t>
  </si>
  <si>
    <t>CFADS = CFE − Annuité totale</t>
  </si>
  <si>
    <t xml:space="preserve">  DSCR — Debt Service Coverage Ratio (CFE / Annuité)</t>
  </si>
  <si>
    <t xml:space="preserve">      Leverage (Endt total / EBE) — référence 2024</t>
  </si>
  <si>
    <t xml:space="preserve">  Couverture MBA / Annuité (norme ≥ 1.2x)</t>
  </si>
  <si>
    <t>V.  TRÉSORERIE NETTE PROJETÉE</t>
  </si>
  <si>
    <t>Trésorerie nette cumulée (M XOF)</t>
  </si>
  <si>
    <t>PISTES D'AMÉLIORATION DU MODÈLE — Recommandations analytiques</t>
  </si>
  <si>
    <t>#</t>
  </si>
  <si>
    <t>Axe d'amélioration</t>
  </si>
  <si>
    <t>Description &amp; Justification</t>
  </si>
  <si>
    <t>Action recommandée</t>
  </si>
  <si>
    <t>Priorité</t>
  </si>
  <si>
    <t>1</t>
  </si>
  <si>
    <t>Tableau d'amortissement dédié</t>
  </si>
  <si>
    <t>Le modèle actuel utilise des annuités fixes (placeholders). Un tableau d'amortissement réel doit être construit avec : montant, taux, durée, différé, type (linéaire/dégressif). Chaque ligne de dette (existante + nouvelle) doit figurer séparément.</t>
  </si>
  <si>
    <t>Créer un onglet 'Tableau Amortissement' avec amortissement détaillé par tranche de dette. Lier les annuités à cet onglet.</t>
  </si>
  <si>
    <t>🔴 CRITIQUE</t>
  </si>
  <si>
    <t>2</t>
  </si>
  <si>
    <t>Traitement du Résultat Financier</t>
  </si>
  <si>
    <t>Le modèle projette le résultat financier à sa moyenne historique (-507 M XOF). C'est insuffisant : les frais financiers doivent être calculés dynamiquement sur l'encours de dette résiduel × taux. Sans cela, le DSCR est biaisé.</t>
  </si>
  <si>
    <t>Lier les frais financiers au tableau d'amortissement. Calculer FF = encours début de période × taux.</t>
  </si>
  <si>
    <t>3</t>
  </si>
  <si>
    <t>Modélisation du BFR endogène</t>
  </si>
  <si>
    <t>Le BFR est projeté en jours de CA fixes. Or, le BFR dépend des délais clients, fournisseurs et stocks qui peuvent évoluer. Le modèle devrait permettre de faire varier ces délais pour mesurer l'impact sur le cash flow.</t>
  </si>
  <si>
    <t>Remplacer le BFR en jours fixe par un calcul : BFR = (Délai clients + Délai stocks − Délai fournis.) × CA/365. Lier aux hypothèses.</t>
  </si>
  <si>
    <t>🟠 HAUTE</t>
  </si>
  <si>
    <t>4</t>
  </si>
  <si>
    <t>Scénarios de stress</t>
  </si>
  <si>
    <t>Le modèle ne propose qu'un scénario central. Pour une décision de crédit, il est indispensable d'avoir un scénario pessimiste (CA −10%, marges compressées, BFR dégradé) pour tester la résistance du DSCR.</t>
  </si>
  <si>
    <t>Ajouter un onglet 'Stress Test' avec 3 scénarios : Base / Pessimiste (−10% CA) / Optimiste (+10% CA). Calculer le DSCR dans chaque cas.</t>
  </si>
  <si>
    <t>5</t>
  </si>
  <si>
    <t>Correction erreur division par zéro</t>
  </si>
  <si>
    <t>L'erreur DIV/0 sur 'Trésorerie/CA' provient d'années sans CA projeté. Le modèle original ne protège pas les formules contre les dénominateurs nuls.</t>
  </si>
  <si>
    <t>Encapsuler toutes les divisions dans IF(dénominateur=0,"-",numérateur/dénominateur).</t>
  </si>
  <si>
    <t>🟡 NORMALE</t>
  </si>
  <si>
    <t>6</t>
  </si>
  <si>
    <t>Intégration des Capex amortissables</t>
  </si>
  <si>
    <t>Les nouveaux investissements génèrent des dotations supplémentaires qui réduisent le résultat imposable mais augmentent la MBA. Le modèle doit intégrer dynamiquement les nouvelles dotations selon la durée d'amortissement.</t>
  </si>
  <si>
    <t>Créer un tableau de suivi Capex avec : année de mise en service, montant, durée, dotation annuelle. Sommer avec les amortissements existants.</t>
  </si>
  <si>
    <t>7</t>
  </si>
  <si>
    <t>Traitement du CCA bloqué</t>
  </si>
  <si>
    <t>Le CCA bloqué à 25 057 M XOF est une ressource structurelle critique. Le modèle ne modélise pas le risque de déblocage partiel, qui réduirait instantanément les capitaux permanents et dégraderait le gearing.</t>
  </si>
  <si>
    <t>Ajouter une ligne 'Variation CCA bloqué' dans le cash flow. Tester en scénario de stress l'impact d'un déblocage partiel de 20%.</t>
  </si>
  <si>
    <t>8</t>
  </si>
  <si>
    <t>Indicateur de couverture par l'EBE</t>
  </si>
  <si>
    <t>Le DSCR calculé sur le CFE est le bon indicateur mais il doit être complété par EBE/Annuité (ratio de couverture bancaire standard). L'EBE est moins volatile que le CFE car non affecté par la variation du BFR.</t>
  </si>
  <si>
    <t>Ajouter la ligne EBE/Annuité en parallèle du DSCR. Norme minimale : 1.2x.</t>
  </si>
  <si>
    <t>9</t>
  </si>
  <si>
    <t>Normalisation de la marge brute</t>
  </si>
  <si>
    <t>La marge brute 2024 à 40% est atypique (effet déstockage). Le modèle doit utiliser une marge normalisée (moyenne 3 ans pondérée) comme base de projection pour éviter de surestimer le cash flow disponible.</t>
  </si>
  <si>
    <t>Utiliser un taux d'achats/CA de 65-67% en projection (vs 63% en 2024). Annoter l'hypothèse retenue.</t>
  </si>
  <si>
    <t>10</t>
  </si>
  <si>
    <t>Horizon de projection</t>
  </si>
  <si>
    <t>L'horizon 2030 (6 ans) est adapté pour un crédit MLT standard de 5-7 ans. Pour des financements plus longs, l'horizon doit couvrir la durée du crédit + 1 an après dernière échéance.</t>
  </si>
  <si>
    <t>Paramétrer l'horizon de projection dynamiquement selon la durée saisie dans les hypothèses.</t>
  </si>
  <si>
    <t>🟢 FAIBLE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</si>
</sst>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quot; j&quot;;\(0&quot; j)&quot;;\-"/>
    <numFmt numFmtId="167" formatCode="0.00\x;\(0.00&quot;x)&quot;;\-"/>
    <numFmt numFmtId="168" formatCode="0&quot; j&quot;"/>
    <numFmt numFmtId="169" formatCode="0.0\x;\(0.0&quot;x)&quot;;\-"/>
  </numFmts>
  <fonts count="47" x14ac:knownFonts="1">
    <font>
      <sz val="11"/>
      <color theme="1"/>
      <name val="Calibri"/>
      <family val="2"/>
      <charset val="1"/>
    </font>
    <font>
      <sz val="8"/>
      <color rgb="FF000000"/>
      <name val="Arial"/>
      <charset val="1"/>
    </font>
    <font>
      <sz val="8"/>
      <color rgb="FFFFFFFF"/>
      <name val="Arial"/>
      <charset val="1"/>
    </font>
    <font>
      <sz val="9"/>
      <color rgb="FF000000"/>
      <name val="Arial"/>
      <charset val="1"/>
    </font>
    <font>
      <b/>
      <sz val="9"/>
      <color rgb="FF000000"/>
      <name val="Arial"/>
      <charset val="1"/>
    </font>
    <font>
      <i/>
      <sz val="8"/>
      <color rgb="FF595959"/>
      <name val="Arial"/>
      <charset val="1"/>
    </font>
    <font>
      <b/>
      <sz val="9"/>
      <color rgb="FFFFFFFF"/>
      <name val="Arial"/>
      <charset val="1"/>
    </font>
    <font>
      <i/>
      <sz val="9"/>
      <color rgb="FF000000"/>
      <name val="Arial"/>
      <charset val="1"/>
    </font>
    <font>
      <i/>
      <sz val="9"/>
      <color rgb="FFFFFFFF"/>
      <name val="Arial"/>
      <charset val="1"/>
    </font>
    <font>
      <sz val="9"/>
      <color rgb="FFFFFFFF"/>
      <name val="Arial"/>
      <charset val="1"/>
    </font>
    <font>
      <b/>
      <sz val="13"/>
      <color rgb="FFFFFFFF"/>
      <name val="Calibri"/>
      <charset val="1"/>
    </font>
    <font>
      <i/>
      <sz val="8"/>
      <color rgb="FFFFFFFF"/>
      <name val="Calibri"/>
      <charset val="1"/>
    </font>
    <font>
      <sz val="9"/>
      <color rgb="FF1C2833"/>
      <name val="Calibri"/>
      <charset val="1"/>
    </font>
    <font>
      <b/>
      <sz val="8"/>
      <color rgb="FFFFFFFF"/>
      <name val="Calibri"/>
      <charset val="1"/>
    </font>
    <font>
      <b/>
      <sz val="9"/>
      <color rgb="FFFFFFFF"/>
      <name val="Calibri"/>
      <charset val="1"/>
    </font>
    <font>
      <b/>
      <sz val="10"/>
      <color rgb="FF0D2B55"/>
      <name val="Calibri"/>
      <charset val="1"/>
    </font>
    <font>
      <i/>
      <sz val="8"/>
      <color rgb="FF595959"/>
      <name val="Calibri"/>
      <charset val="1"/>
    </font>
    <font>
      <b/>
      <sz val="10"/>
      <color rgb="FFFFFFFF"/>
      <name val="Calibri"/>
      <charset val="1"/>
    </font>
    <font>
      <i/>
      <sz val="8"/>
      <color rgb="FF666666"/>
      <name val="Calibri"/>
      <charset val="1"/>
    </font>
    <font>
      <i/>
      <sz val="8"/>
      <color rgb="FF999999"/>
      <name val="Calibri"/>
      <charset val="1"/>
    </font>
    <font>
      <i/>
      <sz val="9"/>
      <color rgb="FF1C2833"/>
      <name val="Calibri"/>
      <charset val="1"/>
    </font>
    <font>
      <b/>
      <sz val="9"/>
      <color rgb="FF1C2833"/>
      <name val="Calibri"/>
      <charset val="1"/>
    </font>
    <font>
      <b/>
      <sz val="9"/>
      <color rgb="FF0D2B55"/>
      <name val="Calibri"/>
      <charset val="1"/>
    </font>
    <font>
      <b/>
      <i/>
      <sz val="9"/>
      <color rgb="FF0D2B55"/>
      <name val="Calibri"/>
      <charset val="1"/>
    </font>
    <font>
      <i/>
      <sz val="7"/>
      <color rgb="FFAAAAAA"/>
      <name val="Calibri"/>
      <charset val="1"/>
    </font>
    <font>
      <b/>
      <sz val="8"/>
      <color rgb="FF0D2B55"/>
      <name val="Calibri"/>
      <charset val="1"/>
    </font>
    <font>
      <i/>
      <sz val="8"/>
      <color rgb="FF444444"/>
      <name val="Calibri"/>
      <charset val="1"/>
    </font>
    <font>
      <b/>
      <sz val="9"/>
      <color rgb="FF922B21"/>
      <name val="Calibri"/>
      <charset val="1"/>
    </font>
    <font>
      <i/>
      <sz val="8"/>
      <color rgb="FF0D2B55"/>
      <name val="Calibri"/>
      <charset val="1"/>
    </font>
    <font>
      <i/>
      <sz val="8"/>
      <color rgb="FF922B21"/>
      <name val="Calibri"/>
      <charset val="1"/>
    </font>
    <font>
      <i/>
      <sz val="8"/>
      <color rgb="FF333333"/>
      <name val="Calibri"/>
      <charset val="1"/>
    </font>
    <font>
      <sz val="8"/>
      <color rgb="FFFFFFFF"/>
      <name val="Calibri"/>
      <charset val="1"/>
    </font>
    <font>
      <sz val="8"/>
      <color rgb="FF1C2833"/>
      <name val="Calibri"/>
      <charset val="1"/>
    </font>
    <font>
      <sz val="8"/>
      <color rgb="FF0D2B55"/>
      <name val="Calibri"/>
      <charset val="1"/>
    </font>
    <font>
      <sz val="8"/>
      <color rgb="FF922B21"/>
      <name val="Calibri"/>
      <charset val="1"/>
    </font>
    <font>
      <b/>
      <sz val="10"/>
      <color rgb="FF1C2833"/>
      <name val="Calibri"/>
      <charset val="1"/>
    </font>
    <font>
      <b/>
      <sz val="8"/>
      <color rgb="FF922B21"/>
      <name val="Calibri"/>
      <charset val="1"/>
    </font>
    <font>
      <b/>
      <sz val="10"/>
      <color rgb="FF922B21"/>
      <name val="Calibri"/>
      <charset val="1"/>
    </font>
    <font>
      <i/>
      <sz val="8"/>
      <color rgb="FF000000"/>
      <name val="Arial"/>
      <charset val="1"/>
    </font>
    <font>
      <i/>
      <sz val="8"/>
      <color rgb="FF375623"/>
      <name val="Arial"/>
      <charset val="1"/>
    </font>
    <font>
      <i/>
      <sz val="8"/>
      <color rgb="FFFFFFFF"/>
      <name val="Arial"/>
      <charset val="1"/>
    </font>
    <font>
      <i/>
      <sz val="9"/>
      <color rgb="FF595959"/>
      <name val="Arial"/>
      <charset val="1"/>
    </font>
    <font>
      <b/>
      <sz val="9"/>
      <name val="Arial"/>
      <charset val="1"/>
    </font>
    <font>
      <sz val="9"/>
      <color rgb="FF0000FF"/>
      <name val="Arial"/>
      <charset val="1"/>
    </font>
    <font>
      <b/>
      <sz val="9"/>
      <color rgb="FF1F4E79"/>
      <name val="Arial"/>
      <charset val="1"/>
    </font>
    <font>
      <b/>
      <sz val="9"/>
      <color rgb="FF0000FF"/>
      <name val="Arial"/>
      <charset val="1"/>
    </font>
    <font>
      <b/>
      <sz val="8"/>
      <color rgb="FF000000"/>
      <name val="Arial"/>
      <charset val="1"/>
    </font>
  </fonts>
  <fills count="36">
    <fill>
      <patternFill patternType="none"/>
    </fill>
    <fill>
      <patternFill patternType="gray125"/>
    </fill>
    <fill>
      <patternFill patternType="solid">
        <fgColor rgb="FFD0CECE"/>
        <bgColor rgb="FFD6DCE4"/>
      </patternFill>
    </fill>
    <fill>
      <patternFill patternType="solid">
        <fgColor rgb="FF92D050"/>
        <bgColor rgb="FFAAAAAA"/>
      </patternFill>
    </fill>
    <fill>
      <patternFill patternType="solid">
        <fgColor rgb="FFFFFFFF"/>
        <bgColor rgb="FFFDFEFE"/>
      </patternFill>
    </fill>
    <fill>
      <patternFill patternType="solid">
        <fgColor rgb="FFC00000"/>
        <bgColor rgb="FF922B21"/>
      </patternFill>
    </fill>
    <fill>
      <patternFill patternType="solid">
        <fgColor rgb="FFFFFF00"/>
        <bgColor rgb="FFFDEBD0"/>
      </patternFill>
    </fill>
    <fill>
      <patternFill patternType="solid">
        <fgColor rgb="FF4472C4"/>
        <bgColor rgb="FF2E75B6"/>
      </patternFill>
    </fill>
    <fill>
      <patternFill patternType="solid">
        <fgColor rgb="FFC6EFCE"/>
        <bgColor rgb="FFD5F5E3"/>
      </patternFill>
    </fill>
    <fill>
      <patternFill patternType="solid">
        <fgColor rgb="FFD6DCE4"/>
        <bgColor rgb="FFD6E4F0"/>
      </patternFill>
    </fill>
    <fill>
      <patternFill patternType="solid">
        <fgColor rgb="FF1F4E79"/>
        <bgColor rgb="FF1A4E79"/>
      </patternFill>
    </fill>
    <fill>
      <patternFill patternType="solid">
        <fgColor rgb="FF555555"/>
        <bgColor rgb="FF595959"/>
      </patternFill>
    </fill>
    <fill>
      <patternFill patternType="solid">
        <fgColor rgb="FF0D2B55"/>
        <bgColor rgb="FF1A3A5C"/>
      </patternFill>
    </fill>
    <fill>
      <patternFill patternType="solid">
        <fgColor rgb="FF2471A3"/>
        <bgColor rgb="FF2E75B6"/>
      </patternFill>
    </fill>
    <fill>
      <patternFill patternType="solid">
        <fgColor rgb="FF1A5276"/>
        <bgColor rgb="FF1A4E79"/>
      </patternFill>
    </fill>
    <fill>
      <patternFill patternType="solid">
        <fgColor rgb="FFD6E4F0"/>
        <bgColor rgb="FFD6EAF8"/>
      </patternFill>
    </fill>
    <fill>
      <patternFill patternType="solid">
        <fgColor rgb="FFEBF5FB"/>
        <bgColor rgb="FFEAF2FF"/>
      </patternFill>
    </fill>
    <fill>
      <patternFill patternType="solid">
        <fgColor rgb="FFAED6F1"/>
        <bgColor rgb="FFBDD7EE"/>
      </patternFill>
    </fill>
    <fill>
      <patternFill patternType="solid">
        <fgColor rgb="FFF2F3F4"/>
        <bgColor rgb="FFEBF5FB"/>
      </patternFill>
    </fill>
    <fill>
      <patternFill patternType="solid">
        <fgColor rgb="FF1A3A5C"/>
        <bgColor rgb="FF0D2B55"/>
      </patternFill>
    </fill>
    <fill>
      <patternFill patternType="solid">
        <fgColor rgb="FF1A4E79"/>
        <bgColor rgb="FF1F4E79"/>
      </patternFill>
    </fill>
    <fill>
      <patternFill patternType="solid">
        <fgColor rgb="FFFDFEFE"/>
        <bgColor rgb="FFFFFFFF"/>
      </patternFill>
    </fill>
    <fill>
      <patternFill patternType="solid">
        <fgColor rgb="FFF8FBFF"/>
        <bgColor rgb="FFFDFEFE"/>
      </patternFill>
    </fill>
    <fill>
      <patternFill patternType="solid">
        <fgColor rgb="FFEAF2FF"/>
        <bgColor rgb="FFEBF5FB"/>
      </patternFill>
    </fill>
    <fill>
      <patternFill patternType="solid">
        <fgColor rgb="FFD5F5E3"/>
        <bgColor rgb="FFE2EFDA"/>
      </patternFill>
    </fill>
    <fill>
      <patternFill patternType="solid">
        <fgColor rgb="FFE8EAF6"/>
        <bgColor rgb="FFEAF2FF"/>
      </patternFill>
    </fill>
    <fill>
      <patternFill patternType="solid">
        <fgColor rgb="FFFDEBD0"/>
        <bgColor rgb="FFFCE4D6"/>
      </patternFill>
    </fill>
    <fill>
      <patternFill patternType="solid">
        <fgColor rgb="FFD6EAF8"/>
        <bgColor rgb="FFD6E4F0"/>
      </patternFill>
    </fill>
    <fill>
      <patternFill patternType="solid">
        <fgColor rgb="FFFADBD8"/>
        <bgColor rgb="FFFFD7D7"/>
      </patternFill>
    </fill>
    <fill>
      <patternFill patternType="solid">
        <fgColor rgb="FF5D2A23"/>
        <bgColor rgb="FF6E2C00"/>
      </patternFill>
    </fill>
    <fill>
      <patternFill patternType="solid">
        <fgColor rgb="FF6E2C00"/>
        <bgColor rgb="FF5D2A23"/>
      </patternFill>
    </fill>
    <fill>
      <patternFill patternType="solid">
        <fgColor rgb="FFFFD7D7"/>
        <bgColor rgb="FFFADBD8"/>
      </patternFill>
    </fill>
    <fill>
      <patternFill patternType="solid">
        <fgColor rgb="FF2E75B6"/>
        <bgColor rgb="FF2471A3"/>
      </patternFill>
    </fill>
    <fill>
      <patternFill patternType="solid">
        <fgColor rgb="FFBDD7EE"/>
        <bgColor rgb="FFAED6F1"/>
      </patternFill>
    </fill>
    <fill>
      <patternFill patternType="solid">
        <fgColor rgb="FFE2EFDA"/>
        <bgColor rgb="FFD5F5E3"/>
      </patternFill>
    </fill>
    <fill>
      <patternFill patternType="solid">
        <fgColor rgb="FFFCE4D6"/>
        <bgColor rgb="FFFDEBD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32">
    <xf numFmtId="0" fontId="0" fillId="0" borderId="0" xfId="0"/>
    <xf numFmtId="0" fontId="14" fillId="12" borderId="1" xfId="0" applyFont="1" applyFill="1" applyBorder="1" applyAlignment="1">
      <alignment horizontal="left" vertical="center" indent="1"/>
    </xf>
    <xf numFmtId="0" fontId="13" fillId="14" borderId="1" xfId="0" applyFont="1" applyFill="1" applyBorder="1" applyAlignment="1">
      <alignment horizontal="center" vertical="center"/>
    </xf>
    <xf numFmtId="0" fontId="13" fillId="13" borderId="1" xfId="0" applyFont="1" applyFill="1" applyBorder="1" applyAlignment="1">
      <alignment horizontal="center" vertical="center"/>
    </xf>
    <xf numFmtId="0" fontId="11" fillId="13" borderId="1" xfId="0" applyFont="1" applyFill="1" applyBorder="1" applyAlignment="1">
      <alignment horizontal="left" vertical="center" indent="1"/>
    </xf>
    <xf numFmtId="0" fontId="10" fillId="12" borderId="1" xfId="0" applyFont="1" applyFill="1" applyBorder="1" applyAlignment="1">
      <alignment horizontal="left" vertical="center" indent="1"/>
    </xf>
    <xf numFmtId="0" fontId="6" fillId="11" borderId="1" xfId="0" applyFont="1" applyFill="1" applyBorder="1" applyAlignment="1">
      <alignment horizontal="left" vertical="center"/>
    </xf>
    <xf numFmtId="0" fontId="6" fillId="10" borderId="1" xfId="0" applyFont="1" applyFill="1" applyBorder="1" applyAlignment="1">
      <alignment horizontal="left" vertical="center"/>
    </xf>
    <xf numFmtId="0" fontId="1" fillId="8" borderId="1" xfId="0" applyFont="1" applyFill="1" applyBorder="1" applyAlignment="1">
      <alignment horizontal="left" vertical="center"/>
    </xf>
    <xf numFmtId="0" fontId="2" fillId="7" borderId="1" xfId="0" applyFont="1" applyFill="1" applyBorder="1" applyAlignment="1">
      <alignment horizontal="left" vertical="center"/>
    </xf>
    <xf numFmtId="0" fontId="1" fillId="6" borderId="1" xfId="0" applyFont="1" applyFill="1" applyBorder="1" applyAlignment="1">
      <alignment horizontal="left" vertical="center"/>
    </xf>
    <xf numFmtId="0" fontId="2" fillId="5" borderId="1" xfId="0" applyFont="1" applyFill="1" applyBorder="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2" borderId="1" xfId="0" applyFont="1" applyFill="1" applyBorder="1" applyAlignment="1">
      <alignment horizontal="left" vertical="center"/>
    </xf>
    <xf numFmtId="0" fontId="1" fillId="4" borderId="1" xfId="0" applyFont="1" applyFill="1" applyBorder="1" applyAlignment="1">
      <alignment horizontal="left" vertical="center"/>
    </xf>
    <xf numFmtId="0" fontId="3" fillId="9" borderId="1" xfId="0" applyFont="1" applyFill="1" applyBorder="1" applyAlignment="1">
      <alignment horizontal="right" vertical="center"/>
    </xf>
    <xf numFmtId="0" fontId="4" fillId="9" borderId="1" xfId="0" applyFont="1" applyFill="1" applyBorder="1" applyAlignment="1">
      <alignment horizontal="left"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7" fillId="3" borderId="1" xfId="0" applyFont="1" applyFill="1" applyBorder="1" applyAlignment="1">
      <alignment horizontal="left" vertical="center"/>
    </xf>
    <xf numFmtId="0" fontId="3" fillId="2" borderId="1" xfId="0" applyFont="1" applyFill="1" applyBorder="1" applyAlignment="1">
      <alignment horizontal="right" vertical="center"/>
    </xf>
    <xf numFmtId="164" fontId="3" fillId="3" borderId="1" xfId="0" applyNumberFormat="1" applyFont="1" applyFill="1" applyBorder="1" applyAlignment="1">
      <alignment horizontal="right" vertical="center"/>
    </xf>
    <xf numFmtId="0" fontId="4" fillId="2" borderId="1" xfId="0" applyFont="1" applyFill="1" applyBorder="1" applyAlignment="1">
      <alignment horizontal="left" vertical="center"/>
    </xf>
    <xf numFmtId="165" fontId="4" fillId="2" borderId="1" xfId="0" applyNumberFormat="1" applyFont="1" applyFill="1" applyBorder="1" applyAlignment="1">
      <alignment horizontal="right" vertical="center"/>
    </xf>
    <xf numFmtId="165" fontId="4" fillId="9" borderId="1" xfId="0" applyNumberFormat="1" applyFont="1" applyFill="1" applyBorder="1" applyAlignment="1">
      <alignment horizontal="right" vertical="center"/>
    </xf>
    <xf numFmtId="164" fontId="3" fillId="2" borderId="1" xfId="0" applyNumberFormat="1" applyFont="1" applyFill="1" applyBorder="1" applyAlignment="1">
      <alignment horizontal="right" vertical="center"/>
    </xf>
    <xf numFmtId="0" fontId="3" fillId="2" borderId="1" xfId="0" applyFont="1" applyFill="1" applyBorder="1" applyAlignment="1">
      <alignment horizontal="left" vertical="center"/>
    </xf>
    <xf numFmtId="165" fontId="3" fillId="2" borderId="1" xfId="0" applyNumberFormat="1" applyFont="1" applyFill="1" applyBorder="1" applyAlignment="1">
      <alignment horizontal="right" vertical="center"/>
    </xf>
    <xf numFmtId="165" fontId="3" fillId="9" borderId="1" xfId="0" applyNumberFormat="1" applyFont="1" applyFill="1" applyBorder="1" applyAlignment="1">
      <alignment horizontal="right" vertical="center"/>
    </xf>
    <xf numFmtId="0" fontId="3" fillId="6" borderId="1" xfId="0" applyFont="1" applyFill="1" applyBorder="1" applyAlignment="1">
      <alignment horizontal="left" vertical="center"/>
    </xf>
    <xf numFmtId="165" fontId="3" fillId="6" borderId="1" xfId="0" applyNumberFormat="1" applyFont="1" applyFill="1" applyBorder="1" applyAlignment="1">
      <alignment horizontal="right" vertical="center"/>
    </xf>
    <xf numFmtId="0" fontId="7" fillId="2" borderId="1" xfId="0" applyFont="1" applyFill="1" applyBorder="1" applyAlignment="1">
      <alignment horizontal="left" vertical="center"/>
    </xf>
    <xf numFmtId="0" fontId="3" fillId="7" borderId="1" xfId="0" applyFont="1" applyFill="1" applyBorder="1" applyAlignment="1">
      <alignment horizontal="right" vertical="center"/>
    </xf>
    <xf numFmtId="0" fontId="8" fillId="7" borderId="1" xfId="0" applyFont="1" applyFill="1" applyBorder="1" applyAlignment="1">
      <alignment horizontal="left" vertical="center"/>
    </xf>
    <xf numFmtId="0" fontId="3" fillId="5" borderId="1" xfId="0" applyFont="1" applyFill="1" applyBorder="1" applyAlignment="1">
      <alignment horizontal="right" vertical="center"/>
    </xf>
    <xf numFmtId="0" fontId="8" fillId="5" borderId="1" xfId="0" applyFont="1" applyFill="1" applyBorder="1" applyAlignment="1">
      <alignment horizontal="left" vertical="center"/>
    </xf>
    <xf numFmtId="165" fontId="9" fillId="5" borderId="1" xfId="0" applyNumberFormat="1" applyFont="1" applyFill="1" applyBorder="1" applyAlignment="1">
      <alignment horizontal="right" vertical="center"/>
    </xf>
    <xf numFmtId="0" fontId="3" fillId="6" borderId="1" xfId="0" applyFont="1" applyFill="1" applyBorder="1" applyAlignment="1">
      <alignment horizontal="right" vertical="center"/>
    </xf>
    <xf numFmtId="0" fontId="1" fillId="9" borderId="1" xfId="0" applyFont="1" applyFill="1" applyBorder="1" applyAlignment="1">
      <alignment horizontal="center" vertical="center"/>
    </xf>
    <xf numFmtId="166" fontId="3" fillId="2" borderId="1" xfId="0" applyNumberFormat="1" applyFont="1" applyFill="1" applyBorder="1" applyAlignment="1">
      <alignment horizontal="right" vertical="center"/>
    </xf>
    <xf numFmtId="166" fontId="3" fillId="6" borderId="1" xfId="0" applyNumberFormat="1" applyFont="1" applyFill="1" applyBorder="1" applyAlignment="1">
      <alignment horizontal="right" vertical="center"/>
    </xf>
    <xf numFmtId="0" fontId="7" fillId="6" borderId="1" xfId="0" applyFont="1" applyFill="1" applyBorder="1" applyAlignment="1">
      <alignment horizontal="left" vertical="center"/>
    </xf>
    <xf numFmtId="164" fontId="3" fillId="6" borderId="1" xfId="0" applyNumberFormat="1" applyFont="1" applyFill="1" applyBorder="1" applyAlignment="1">
      <alignment horizontal="right" vertical="center"/>
    </xf>
    <xf numFmtId="165" fontId="9" fillId="7" borderId="1" xfId="0" applyNumberFormat="1" applyFont="1" applyFill="1" applyBorder="1" applyAlignment="1">
      <alignment horizontal="right" vertical="center"/>
    </xf>
    <xf numFmtId="0" fontId="4" fillId="2" borderId="1" xfId="0" applyFont="1" applyFill="1" applyBorder="1" applyAlignment="1">
      <alignment horizontal="right" vertical="center"/>
    </xf>
    <xf numFmtId="167" fontId="4" fillId="8" borderId="1" xfId="0" applyNumberFormat="1" applyFont="1" applyFill="1" applyBorder="1" applyAlignment="1">
      <alignment horizontal="right" vertical="center"/>
    </xf>
    <xf numFmtId="0" fontId="3" fillId="4" borderId="1" xfId="0" applyFont="1" applyFill="1" applyBorder="1" applyAlignment="1">
      <alignment horizontal="left" vertical="center"/>
    </xf>
    <xf numFmtId="165" fontId="3" fillId="4" borderId="1" xfId="0" applyNumberFormat="1" applyFont="1" applyFill="1" applyBorder="1" applyAlignment="1">
      <alignment horizontal="right" vertical="center"/>
    </xf>
    <xf numFmtId="167" fontId="3" fillId="2" borderId="1" xfId="0" applyNumberFormat="1" applyFont="1" applyFill="1" applyBorder="1" applyAlignment="1">
      <alignment horizontal="right" vertical="center"/>
    </xf>
    <xf numFmtId="167" fontId="3" fillId="4" borderId="1" xfId="0" applyNumberFormat="1" applyFont="1" applyFill="1" applyBorder="1" applyAlignment="1">
      <alignment horizontal="right" vertical="center"/>
    </xf>
    <xf numFmtId="0" fontId="12" fillId="12" borderId="1" xfId="0" applyFont="1" applyFill="1" applyBorder="1" applyAlignment="1">
      <alignment horizontal="right" vertical="center"/>
    </xf>
    <xf numFmtId="0" fontId="13" fillId="14" borderId="1" xfId="0" applyFont="1" applyFill="1" applyBorder="1" applyAlignment="1">
      <alignment horizontal="center" vertical="center"/>
    </xf>
    <xf numFmtId="0" fontId="14" fillId="12" borderId="1" xfId="0" applyFont="1" applyFill="1" applyBorder="1" applyAlignment="1">
      <alignment horizontal="center" vertical="center"/>
    </xf>
    <xf numFmtId="0" fontId="14" fillId="12" borderId="1" xfId="0" applyFont="1" applyFill="1" applyBorder="1" applyAlignment="1">
      <alignment horizontal="left" vertical="center"/>
    </xf>
    <xf numFmtId="0" fontId="15" fillId="15" borderId="1" xfId="0" applyFont="1" applyFill="1" applyBorder="1" applyAlignment="1">
      <alignment horizontal="center" vertical="center"/>
    </xf>
    <xf numFmtId="0" fontId="15" fillId="16" borderId="1" xfId="0" applyFont="1" applyFill="1" applyBorder="1" applyAlignment="1">
      <alignment horizontal="center" vertical="center"/>
    </xf>
    <xf numFmtId="0" fontId="15" fillId="17" borderId="1" xfId="0" applyFont="1" applyFill="1" applyBorder="1" applyAlignment="1">
      <alignment horizontal="center" vertical="center"/>
    </xf>
    <xf numFmtId="0" fontId="12" fillId="18" borderId="1" xfId="0" applyFont="1" applyFill="1" applyBorder="1" applyAlignment="1">
      <alignment horizontal="right" vertical="center"/>
    </xf>
    <xf numFmtId="0" fontId="16" fillId="18" borderId="1" xfId="0" applyFont="1" applyFill="1" applyBorder="1" applyAlignment="1">
      <alignment horizontal="center" vertical="center"/>
    </xf>
    <xf numFmtId="0" fontId="13" fillId="12" borderId="1" xfId="0" applyFont="1" applyFill="1" applyBorder="1" applyAlignment="1">
      <alignment horizontal="center" vertical="center"/>
    </xf>
    <xf numFmtId="0" fontId="17" fillId="12" borderId="1" xfId="0" applyFont="1" applyFill="1" applyBorder="1" applyAlignment="1">
      <alignment horizontal="left" vertical="center"/>
    </xf>
    <xf numFmtId="165" fontId="17" fillId="19" borderId="1" xfId="0" applyNumberFormat="1" applyFont="1" applyFill="1" applyBorder="1" applyAlignment="1">
      <alignment horizontal="right" vertical="center"/>
    </xf>
    <xf numFmtId="165" fontId="17" fillId="20" borderId="1" xfId="0" applyNumberFormat="1" applyFont="1" applyFill="1" applyBorder="1" applyAlignment="1">
      <alignment horizontal="right" vertical="center"/>
    </xf>
    <xf numFmtId="0" fontId="14" fillId="12" borderId="1" xfId="0" applyFont="1" applyFill="1" applyBorder="1" applyAlignment="1">
      <alignment horizontal="right" vertical="center"/>
    </xf>
    <xf numFmtId="0" fontId="12" fillId="21" borderId="1" xfId="0" applyFont="1" applyFill="1" applyBorder="1" applyAlignment="1">
      <alignment horizontal="right" vertical="center"/>
    </xf>
    <xf numFmtId="0" fontId="18" fillId="21" borderId="1" xfId="0" applyFont="1" applyFill="1" applyBorder="1" applyAlignment="1">
      <alignment horizontal="left" vertical="center"/>
    </xf>
    <xf numFmtId="164" fontId="18" fillId="21" borderId="1" xfId="0" applyNumberFormat="1" applyFont="1" applyFill="1" applyBorder="1" applyAlignment="1">
      <alignment horizontal="right" vertical="center"/>
    </xf>
    <xf numFmtId="0" fontId="18" fillId="21" borderId="1" xfId="0" applyFont="1" applyFill="1" applyBorder="1" applyAlignment="1">
      <alignment horizontal="right" vertical="center"/>
    </xf>
    <xf numFmtId="0" fontId="19" fillId="18" borderId="1" xfId="0" applyFont="1" applyFill="1" applyBorder="1" applyAlignment="1">
      <alignment horizontal="center" vertical="center"/>
    </xf>
    <xf numFmtId="0" fontId="20" fillId="22" borderId="1" xfId="0" applyFont="1" applyFill="1" applyBorder="1" applyAlignment="1">
      <alignment horizontal="left" vertical="center"/>
    </xf>
    <xf numFmtId="164" fontId="12" fillId="15" borderId="1" xfId="0" applyNumberFormat="1" applyFont="1" applyFill="1" applyBorder="1" applyAlignment="1">
      <alignment horizontal="right" vertical="center"/>
    </xf>
    <xf numFmtId="164" fontId="12" fillId="16" borderId="1" xfId="0" applyNumberFormat="1" applyFont="1" applyFill="1" applyBorder="1" applyAlignment="1">
      <alignment horizontal="right" vertical="center"/>
    </xf>
    <xf numFmtId="0" fontId="12" fillId="17" borderId="1" xfId="0" applyFont="1" applyFill="1" applyBorder="1" applyAlignment="1">
      <alignment horizontal="right" vertical="center"/>
    </xf>
    <xf numFmtId="0" fontId="12" fillId="22" borderId="1" xfId="0" applyFont="1" applyFill="1" applyBorder="1" applyAlignment="1">
      <alignment horizontal="left" vertical="center"/>
    </xf>
    <xf numFmtId="165" fontId="12" fillId="15" borderId="1" xfId="0" applyNumberFormat="1" applyFont="1" applyFill="1" applyBorder="1" applyAlignment="1">
      <alignment horizontal="right" vertical="center"/>
    </xf>
    <xf numFmtId="165" fontId="12" fillId="16" borderId="1" xfId="0" applyNumberFormat="1" applyFont="1" applyFill="1" applyBorder="1" applyAlignment="1">
      <alignment horizontal="right" vertical="center"/>
    </xf>
    <xf numFmtId="165" fontId="12" fillId="17" borderId="1" xfId="0" applyNumberFormat="1" applyFont="1" applyFill="1" applyBorder="1" applyAlignment="1">
      <alignment horizontal="right" vertical="center"/>
    </xf>
    <xf numFmtId="165" fontId="17" fillId="12" borderId="1" xfId="0" applyNumberFormat="1" applyFont="1" applyFill="1" applyBorder="1" applyAlignment="1">
      <alignment horizontal="right" vertical="center"/>
    </xf>
    <xf numFmtId="0" fontId="21" fillId="23" borderId="1" xfId="0" applyFont="1" applyFill="1" applyBorder="1" applyAlignment="1">
      <alignment horizontal="left" vertical="center"/>
    </xf>
    <xf numFmtId="165" fontId="21" fillId="23" borderId="1" xfId="0" applyNumberFormat="1" applyFont="1" applyFill="1" applyBorder="1" applyAlignment="1">
      <alignment horizontal="right" vertical="center"/>
    </xf>
    <xf numFmtId="165" fontId="21" fillId="17" borderId="1" xfId="0" applyNumberFormat="1" applyFont="1" applyFill="1" applyBorder="1" applyAlignment="1">
      <alignment horizontal="right" vertical="center"/>
    </xf>
    <xf numFmtId="168" fontId="12" fillId="15" borderId="1" xfId="0" applyNumberFormat="1" applyFont="1" applyFill="1" applyBorder="1" applyAlignment="1">
      <alignment horizontal="right" vertical="center"/>
    </xf>
    <xf numFmtId="168" fontId="12" fillId="16" borderId="1" xfId="0" applyNumberFormat="1" applyFont="1" applyFill="1" applyBorder="1" applyAlignment="1">
      <alignment horizontal="right" vertical="center"/>
    </xf>
    <xf numFmtId="168" fontId="21" fillId="23" borderId="1" xfId="0" applyNumberFormat="1" applyFont="1" applyFill="1" applyBorder="1" applyAlignment="1">
      <alignment horizontal="right" vertical="center"/>
    </xf>
    <xf numFmtId="0" fontId="17" fillId="14" borderId="1" xfId="0" applyFont="1" applyFill="1" applyBorder="1" applyAlignment="1">
      <alignment horizontal="left" vertical="center"/>
    </xf>
    <xf numFmtId="165" fontId="17" fillId="13" borderId="1" xfId="0" applyNumberFormat="1" applyFont="1" applyFill="1" applyBorder="1" applyAlignment="1">
      <alignment horizontal="right" vertical="center"/>
    </xf>
    <xf numFmtId="165" fontId="14" fillId="12" borderId="1" xfId="0" applyNumberFormat="1" applyFont="1" applyFill="1" applyBorder="1" applyAlignment="1">
      <alignment horizontal="right" vertical="center"/>
    </xf>
    <xf numFmtId="0" fontId="22" fillId="18" borderId="1" xfId="0" applyFont="1" applyFill="1" applyBorder="1" applyAlignment="1">
      <alignment horizontal="left" vertical="center"/>
    </xf>
    <xf numFmtId="169" fontId="15" fillId="15" borderId="1" xfId="0" applyNumberFormat="1" applyFont="1" applyFill="1" applyBorder="1" applyAlignment="1">
      <alignment horizontal="right" vertical="center"/>
    </xf>
    <xf numFmtId="169" fontId="15" fillId="24" borderId="1" xfId="0" applyNumberFormat="1" applyFont="1" applyFill="1" applyBorder="1" applyAlignment="1">
      <alignment horizontal="right" vertical="center"/>
    </xf>
    <xf numFmtId="0" fontId="12" fillId="24" borderId="1" xfId="0" applyFont="1" applyFill="1" applyBorder="1" applyAlignment="1">
      <alignment horizontal="right" vertical="center"/>
    </xf>
    <xf numFmtId="0" fontId="22" fillId="24" borderId="1" xfId="0" applyFont="1" applyFill="1" applyBorder="1" applyAlignment="1">
      <alignment horizontal="left" vertical="center"/>
    </xf>
    <xf numFmtId="0" fontId="12" fillId="15" borderId="1" xfId="0" applyFont="1" applyFill="1" applyBorder="1" applyAlignment="1">
      <alignment horizontal="right" vertical="center"/>
    </xf>
    <xf numFmtId="0" fontId="12" fillId="26" borderId="1" xfId="0" applyFont="1" applyFill="1" applyBorder="1" applyAlignment="1">
      <alignment horizontal="right" vertical="center"/>
    </xf>
    <xf numFmtId="0" fontId="22" fillId="26" borderId="1" xfId="0" applyFont="1" applyFill="1" applyBorder="1" applyAlignment="1">
      <alignment horizontal="left" vertical="center"/>
    </xf>
    <xf numFmtId="169" fontId="15" fillId="26" borderId="1" xfId="0" applyNumberFormat="1" applyFont="1" applyFill="1" applyBorder="1" applyAlignment="1">
      <alignment horizontal="right" vertical="center"/>
    </xf>
    <xf numFmtId="0" fontId="12" fillId="4" borderId="1" xfId="0" applyFont="1" applyFill="1" applyBorder="1" applyAlignment="1">
      <alignment horizontal="left" vertical="center"/>
    </xf>
    <xf numFmtId="169" fontId="21" fillId="23" borderId="1" xfId="0" applyNumberFormat="1" applyFont="1" applyFill="1" applyBorder="1" applyAlignment="1">
      <alignment horizontal="right" vertical="center"/>
    </xf>
    <xf numFmtId="164" fontId="21" fillId="23" borderId="1" xfId="0" applyNumberFormat="1" applyFont="1" applyFill="1" applyBorder="1" applyAlignment="1">
      <alignment horizontal="right" vertical="center"/>
    </xf>
    <xf numFmtId="0" fontId="14" fillId="13" borderId="1" xfId="0" applyFont="1" applyFill="1" applyBorder="1" applyAlignment="1">
      <alignment horizontal="center" vertical="center"/>
    </xf>
    <xf numFmtId="0" fontId="14" fillId="13" borderId="1" xfId="0" applyFont="1" applyFill="1" applyBorder="1" applyAlignment="1">
      <alignment horizontal="left" vertical="center"/>
    </xf>
    <xf numFmtId="0" fontId="25" fillId="18"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26" fillId="21" borderId="1" xfId="0" applyFont="1" applyFill="1" applyBorder="1" applyAlignment="1">
      <alignment horizontal="left" vertical="center" wrapText="1"/>
    </xf>
    <xf numFmtId="0" fontId="21" fillId="18" borderId="1" xfId="0" applyFont="1" applyFill="1" applyBorder="1" applyAlignment="1">
      <alignment horizontal="left" vertical="center"/>
    </xf>
    <xf numFmtId="0" fontId="22" fillId="27" borderId="1" xfId="0" applyFont="1" applyFill="1" applyBorder="1" applyAlignment="1">
      <alignment horizontal="center" vertical="center"/>
    </xf>
    <xf numFmtId="0" fontId="27" fillId="28" borderId="1" xfId="0" applyFont="1" applyFill="1" applyBorder="1" applyAlignment="1">
      <alignment horizontal="center" vertical="center"/>
    </xf>
    <xf numFmtId="0" fontId="28" fillId="27" borderId="1" xfId="0" applyFont="1" applyFill="1" applyBorder="1" applyAlignment="1">
      <alignment horizontal="center" vertical="center"/>
    </xf>
    <xf numFmtId="0" fontId="29" fillId="28" borderId="1" xfId="0" applyFont="1" applyFill="1" applyBorder="1" applyAlignment="1">
      <alignment horizontal="center" vertical="center"/>
    </xf>
    <xf numFmtId="0" fontId="12" fillId="18" borderId="1" xfId="0" applyFont="1" applyFill="1" applyBorder="1" applyAlignment="1">
      <alignment horizontal="center" vertical="center"/>
    </xf>
    <xf numFmtId="0" fontId="21" fillId="4" borderId="1" xfId="0" applyFont="1" applyFill="1" applyBorder="1" applyAlignment="1">
      <alignment horizontal="left" vertical="center" wrapText="1"/>
    </xf>
    <xf numFmtId="0" fontId="30" fillId="21" borderId="1" xfId="0" applyFont="1" applyFill="1" applyBorder="1" applyAlignment="1">
      <alignment horizontal="left" vertical="center" wrapText="1"/>
    </xf>
    <xf numFmtId="164" fontId="22" fillId="27" borderId="1" xfId="0" applyNumberFormat="1" applyFont="1" applyFill="1" applyBorder="1" applyAlignment="1">
      <alignment horizontal="right" vertical="center"/>
    </xf>
    <xf numFmtId="164" fontId="27" fillId="28" borderId="1" xfId="0" applyNumberFormat="1" applyFont="1" applyFill="1" applyBorder="1" applyAlignment="1">
      <alignment horizontal="right" vertical="center"/>
    </xf>
    <xf numFmtId="168" fontId="22" fillId="27" borderId="1" xfId="0" applyNumberFormat="1" applyFont="1" applyFill="1" applyBorder="1" applyAlignment="1">
      <alignment horizontal="right" vertical="center"/>
    </xf>
    <xf numFmtId="168" fontId="27" fillId="28" borderId="1" xfId="0" applyNumberFormat="1" applyFont="1" applyFill="1" applyBorder="1" applyAlignment="1">
      <alignment horizontal="right" vertical="center"/>
    </xf>
    <xf numFmtId="165" fontId="22" fillId="27" borderId="1" xfId="0" applyNumberFormat="1" applyFont="1" applyFill="1" applyBorder="1" applyAlignment="1">
      <alignment horizontal="right" vertical="center"/>
    </xf>
    <xf numFmtId="165" fontId="27" fillId="28" borderId="1" xfId="0" applyNumberFormat="1" applyFont="1" applyFill="1" applyBorder="1" applyAlignment="1">
      <alignment horizontal="right" vertical="center"/>
    </xf>
    <xf numFmtId="0" fontId="31" fillId="12" borderId="1" xfId="0" applyFont="1" applyFill="1" applyBorder="1" applyAlignment="1">
      <alignment horizontal="center" vertical="center"/>
    </xf>
    <xf numFmtId="165" fontId="14" fillId="19" borderId="1" xfId="0" applyNumberFormat="1" applyFont="1" applyFill="1" applyBorder="1" applyAlignment="1">
      <alignment horizontal="right" vertical="center"/>
    </xf>
    <xf numFmtId="165" fontId="14" fillId="29" borderId="1" xfId="0" applyNumberFormat="1" applyFont="1" applyFill="1" applyBorder="1" applyAlignment="1">
      <alignment horizontal="right" vertical="center"/>
    </xf>
    <xf numFmtId="0" fontId="32" fillId="18" borderId="1" xfId="0" applyFont="1" applyFill="1" applyBorder="1" applyAlignment="1">
      <alignment horizontal="center" vertical="center"/>
    </xf>
    <xf numFmtId="0" fontId="28" fillId="4" borderId="1" xfId="0" applyFont="1" applyFill="1" applyBorder="1" applyAlignment="1">
      <alignment horizontal="left" vertical="center"/>
    </xf>
    <xf numFmtId="164" fontId="33" fillId="27" borderId="1" xfId="0" applyNumberFormat="1" applyFont="1" applyFill="1" applyBorder="1" applyAlignment="1">
      <alignment horizontal="right" vertical="center"/>
    </xf>
    <xf numFmtId="164" fontId="34" fillId="28" borderId="1" xfId="0" applyNumberFormat="1" applyFont="1" applyFill="1" applyBorder="1" applyAlignment="1">
      <alignment horizontal="right" vertical="center"/>
    </xf>
    <xf numFmtId="165" fontId="33" fillId="27" borderId="1" xfId="0" applyNumberFormat="1" applyFont="1" applyFill="1" applyBorder="1" applyAlignment="1">
      <alignment horizontal="right" vertical="center"/>
    </xf>
    <xf numFmtId="165" fontId="34" fillId="28" borderId="1" xfId="0" applyNumberFormat="1" applyFont="1" applyFill="1" applyBorder="1" applyAlignment="1">
      <alignment horizontal="right" vertical="center"/>
    </xf>
    <xf numFmtId="168" fontId="33" fillId="27" borderId="1" xfId="0" applyNumberFormat="1" applyFont="1" applyFill="1" applyBorder="1" applyAlignment="1">
      <alignment horizontal="right" vertical="center"/>
    </xf>
    <xf numFmtId="168" fontId="34" fillId="28" borderId="1" xfId="0" applyNumberFormat="1" applyFont="1" applyFill="1" applyBorder="1" applyAlignment="1">
      <alignment horizontal="right" vertical="center"/>
    </xf>
    <xf numFmtId="165" fontId="14" fillId="30" borderId="1" xfId="0" applyNumberFormat="1" applyFont="1" applyFill="1" applyBorder="1" applyAlignment="1">
      <alignment horizontal="right" vertical="center"/>
    </xf>
    <xf numFmtId="169" fontId="35" fillId="24" borderId="1" xfId="0" applyNumberFormat="1" applyFont="1" applyFill="1" applyBorder="1" applyAlignment="1">
      <alignment horizontal="right" vertical="center"/>
    </xf>
    <xf numFmtId="169" fontId="35" fillId="28" borderId="1" xfId="0" applyNumberFormat="1" applyFont="1" applyFill="1" applyBorder="1" applyAlignment="1">
      <alignment horizontal="right" vertical="center"/>
    </xf>
    <xf numFmtId="169" fontId="33" fillId="27" borderId="1" xfId="0" applyNumberFormat="1" applyFont="1" applyFill="1" applyBorder="1" applyAlignment="1">
      <alignment horizontal="right" vertical="center"/>
    </xf>
    <xf numFmtId="169" fontId="34" fillId="28" borderId="1" xfId="0" applyNumberFormat="1" applyFont="1" applyFill="1" applyBorder="1" applyAlignment="1">
      <alignment horizontal="right" vertical="center"/>
    </xf>
    <xf numFmtId="0" fontId="25" fillId="24" borderId="1" xfId="0" applyFont="1" applyFill="1" applyBorder="1" applyAlignment="1">
      <alignment horizontal="center" vertical="center" wrapText="1"/>
    </xf>
    <xf numFmtId="0" fontId="15" fillId="24" borderId="1" xfId="0" applyFont="1" applyFill="1" applyBorder="1" applyAlignment="1">
      <alignment horizontal="left" vertical="center" wrapText="1"/>
    </xf>
    <xf numFmtId="0" fontId="36" fillId="26" borderId="1" xfId="0" applyFont="1" applyFill="1" applyBorder="1" applyAlignment="1">
      <alignment horizontal="center" vertical="center" wrapText="1"/>
    </xf>
    <xf numFmtId="0" fontId="37" fillId="26" borderId="1" xfId="0" applyFont="1" applyFill="1" applyBorder="1" applyAlignment="1">
      <alignment horizontal="left" vertical="center" wrapText="1"/>
    </xf>
    <xf numFmtId="0" fontId="25" fillId="15" borderId="1" xfId="0" applyFont="1" applyFill="1" applyBorder="1" applyAlignment="1">
      <alignment horizontal="center" vertical="center" wrapText="1"/>
    </xf>
    <xf numFmtId="0" fontId="15" fillId="15" borderId="1" xfId="0" applyFont="1" applyFill="1" applyBorder="1" applyAlignment="1">
      <alignment horizontal="left" vertical="center" wrapText="1"/>
    </xf>
    <xf numFmtId="0" fontId="6" fillId="32" borderId="1" xfId="0" applyFont="1" applyFill="1" applyBorder="1" applyAlignment="1">
      <alignment horizontal="center" vertical="center" wrapText="1"/>
    </xf>
    <xf numFmtId="0" fontId="9" fillId="32" borderId="1" xfId="0" applyFont="1" applyFill="1" applyBorder="1" applyAlignment="1">
      <alignment horizontal="right" vertical="center"/>
    </xf>
    <xf numFmtId="0" fontId="5" fillId="4" borderId="1" xfId="0" applyFont="1" applyFill="1" applyBorder="1" applyAlignment="1">
      <alignment horizontal="left" vertical="center"/>
    </xf>
    <xf numFmtId="165" fontId="4" fillId="8" borderId="1" xfId="0" applyNumberFormat="1" applyFont="1" applyFill="1" applyBorder="1" applyAlignment="1">
      <alignment horizontal="right" vertical="center"/>
    </xf>
    <xf numFmtId="0" fontId="3" fillId="4" borderId="1" xfId="0" applyFont="1" applyFill="1" applyBorder="1" applyAlignment="1">
      <alignment horizontal="right" vertical="center"/>
    </xf>
    <xf numFmtId="0" fontId="38" fillId="6" borderId="1" xfId="0" applyFont="1" applyFill="1" applyBorder="1" applyAlignment="1">
      <alignment horizontal="left" vertical="center"/>
    </xf>
    <xf numFmtId="0" fontId="39" fillId="4" borderId="1" xfId="0" applyFont="1" applyFill="1" applyBorder="1" applyAlignment="1">
      <alignment horizontal="left" vertical="center"/>
    </xf>
    <xf numFmtId="0" fontId="3" fillId="8" borderId="1" xfId="0" applyFont="1" applyFill="1" applyBorder="1" applyAlignment="1">
      <alignment horizontal="right" vertical="center"/>
    </xf>
    <xf numFmtId="0" fontId="7" fillId="8" borderId="1" xfId="0" applyFont="1" applyFill="1" applyBorder="1" applyAlignment="1">
      <alignment horizontal="left" vertical="center"/>
    </xf>
    <xf numFmtId="164" fontId="3" fillId="8" borderId="1" xfId="0" applyNumberFormat="1" applyFont="1" applyFill="1" applyBorder="1" applyAlignment="1">
      <alignment horizontal="right" vertical="center"/>
    </xf>
    <xf numFmtId="0" fontId="4" fillId="8" borderId="1" xfId="0" applyFont="1" applyFill="1" applyBorder="1" applyAlignment="1">
      <alignment horizontal="left" vertical="center"/>
    </xf>
    <xf numFmtId="0" fontId="9" fillId="7" borderId="1" xfId="0" applyFont="1" applyFill="1" applyBorder="1" applyAlignment="1">
      <alignment horizontal="right" vertical="center"/>
    </xf>
    <xf numFmtId="0" fontId="40" fillId="7" borderId="1" xfId="0" applyFont="1" applyFill="1" applyBorder="1" applyAlignment="1">
      <alignment horizontal="left" vertical="center"/>
    </xf>
    <xf numFmtId="0" fontId="38" fillId="2" borderId="1" xfId="0" applyFont="1" applyFill="1" applyBorder="1" applyAlignment="1">
      <alignment horizontal="left" vertical="center"/>
    </xf>
    <xf numFmtId="0" fontId="9" fillId="5" borderId="1" xfId="0" applyFont="1" applyFill="1" applyBorder="1" applyAlignment="1">
      <alignment horizontal="right" vertical="center"/>
    </xf>
    <xf numFmtId="0" fontId="40" fillId="5" borderId="1" xfId="0" applyFont="1" applyFill="1" applyBorder="1" applyAlignment="1">
      <alignment horizontal="left" vertical="center"/>
    </xf>
    <xf numFmtId="0" fontId="41" fillId="4" borderId="1" xfId="0" applyFont="1" applyFill="1" applyBorder="1" applyAlignment="1">
      <alignment horizontal="left" vertical="center"/>
    </xf>
    <xf numFmtId="165" fontId="3" fillId="8" borderId="1" xfId="0" applyNumberFormat="1" applyFont="1" applyFill="1" applyBorder="1" applyAlignment="1">
      <alignment horizontal="right" vertical="center"/>
    </xf>
    <xf numFmtId="168" fontId="3" fillId="2" borderId="1" xfId="0" applyNumberFormat="1" applyFont="1" applyFill="1" applyBorder="1" applyAlignment="1">
      <alignment horizontal="right" vertical="center"/>
    </xf>
    <xf numFmtId="168" fontId="3" fillId="6" borderId="1" xfId="0" applyNumberFormat="1" applyFont="1" applyFill="1" applyBorder="1" applyAlignment="1">
      <alignment horizontal="right" vertical="center"/>
    </xf>
    <xf numFmtId="168" fontId="4" fillId="8" borderId="1" xfId="0" applyNumberFormat="1" applyFont="1" applyFill="1" applyBorder="1" applyAlignment="1">
      <alignment horizontal="right" vertical="center"/>
    </xf>
    <xf numFmtId="167" fontId="42" fillId="8" borderId="1" xfId="0" applyNumberFormat="1" applyFont="1" applyFill="1" applyBorder="1" applyAlignment="1">
      <alignment horizontal="right" vertical="center"/>
    </xf>
    <xf numFmtId="0" fontId="6" fillId="32" borderId="1" xfId="0" applyFont="1" applyFill="1" applyBorder="1" applyAlignment="1">
      <alignment horizontal="left" vertical="center"/>
    </xf>
    <xf numFmtId="0" fontId="6" fillId="32" borderId="1" xfId="0" applyFont="1" applyFill="1" applyBorder="1" applyAlignment="1">
      <alignment horizontal="center" vertical="center"/>
    </xf>
    <xf numFmtId="0" fontId="38" fillId="4" borderId="1" xfId="0" applyFont="1" applyFill="1" applyBorder="1" applyAlignment="1">
      <alignment horizontal="left" vertical="center"/>
    </xf>
    <xf numFmtId="167" fontId="4" fillId="31" borderId="1" xfId="0" applyNumberFormat="1" applyFont="1" applyFill="1" applyBorder="1" applyAlignment="1">
      <alignment horizontal="right" vertical="center"/>
    </xf>
    <xf numFmtId="167" fontId="3" fillId="8" borderId="1" xfId="0" applyNumberFormat="1" applyFont="1" applyFill="1" applyBorder="1" applyAlignment="1">
      <alignment horizontal="right" vertical="center"/>
    </xf>
    <xf numFmtId="0" fontId="1" fillId="33" borderId="1" xfId="0" applyFont="1" applyFill="1" applyBorder="1" applyAlignment="1">
      <alignment horizontal="left" vertical="center"/>
    </xf>
    <xf numFmtId="0" fontId="1" fillId="34" borderId="1" xfId="0" applyFont="1" applyFill="1" applyBorder="1" applyAlignment="1">
      <alignment horizontal="left" vertical="center"/>
    </xf>
    <xf numFmtId="0" fontId="3" fillId="34" borderId="1" xfId="0" applyFont="1" applyFill="1" applyBorder="1" applyAlignment="1">
      <alignment horizontal="left" vertical="center"/>
    </xf>
    <xf numFmtId="165" fontId="3" fillId="34" borderId="1" xfId="0" applyNumberFormat="1" applyFont="1" applyFill="1" applyBorder="1" applyAlignment="1">
      <alignment horizontal="right" vertical="center"/>
    </xf>
    <xf numFmtId="164" fontId="43" fillId="6" borderId="1" xfId="0" applyNumberFormat="1" applyFont="1" applyFill="1" applyBorder="1" applyAlignment="1">
      <alignment horizontal="right" vertical="center"/>
    </xf>
    <xf numFmtId="164" fontId="3" fillId="34" borderId="1" xfId="0" applyNumberFormat="1" applyFont="1" applyFill="1" applyBorder="1" applyAlignment="1">
      <alignment horizontal="right" vertical="center"/>
    </xf>
    <xf numFmtId="168" fontId="43" fillId="6" borderId="1" xfId="0" applyNumberFormat="1" applyFont="1" applyFill="1" applyBorder="1" applyAlignment="1">
      <alignment horizontal="right" vertical="center"/>
    </xf>
    <xf numFmtId="168" fontId="3" fillId="34" borderId="1" xfId="0" applyNumberFormat="1" applyFont="1" applyFill="1" applyBorder="1" applyAlignment="1">
      <alignment horizontal="right" vertical="center"/>
    </xf>
    <xf numFmtId="165" fontId="43" fillId="35" borderId="1" xfId="0" applyNumberFormat="1" applyFont="1" applyFill="1" applyBorder="1" applyAlignment="1">
      <alignment horizontal="right" vertical="center"/>
    </xf>
    <xf numFmtId="1" fontId="43" fillId="35" borderId="1" xfId="0" applyNumberFormat="1" applyFont="1" applyFill="1" applyBorder="1" applyAlignment="1">
      <alignment horizontal="right" vertical="center"/>
    </xf>
    <xf numFmtId="164" fontId="43" fillId="35" borderId="1" xfId="0" applyNumberFormat="1" applyFont="1" applyFill="1" applyBorder="1" applyAlignment="1">
      <alignment horizontal="right" vertical="center"/>
    </xf>
    <xf numFmtId="49" fontId="43" fillId="35" borderId="1" xfId="0" applyNumberFormat="1" applyFont="1" applyFill="1" applyBorder="1" applyAlignment="1">
      <alignment horizontal="right" vertical="center"/>
    </xf>
    <xf numFmtId="0" fontId="4" fillId="9" borderId="1" xfId="0" applyFont="1" applyFill="1" applyBorder="1" applyAlignment="1">
      <alignment horizontal="right" vertical="center"/>
    </xf>
    <xf numFmtId="0" fontId="1" fillId="9" borderId="1" xfId="0" applyFont="1" applyFill="1" applyBorder="1" applyAlignment="1">
      <alignment horizontal="left" vertical="center"/>
    </xf>
    <xf numFmtId="0" fontId="4" fillId="34" borderId="1" xfId="0" applyFont="1" applyFill="1" applyBorder="1" applyAlignment="1">
      <alignment horizontal="center" vertical="center"/>
    </xf>
    <xf numFmtId="0" fontId="4" fillId="33" borderId="1" xfId="0" applyFont="1" applyFill="1" applyBorder="1" applyAlignment="1">
      <alignment horizontal="center" vertical="center"/>
    </xf>
    <xf numFmtId="0" fontId="44" fillId="4" borderId="1" xfId="0" applyFont="1" applyFill="1" applyBorder="1" applyAlignment="1">
      <alignment horizontal="center" vertical="center"/>
    </xf>
    <xf numFmtId="0" fontId="41" fillId="9" borderId="1" xfId="0" applyFont="1" applyFill="1" applyBorder="1" applyAlignment="1">
      <alignment horizontal="center" vertical="center"/>
    </xf>
    <xf numFmtId="0" fontId="4" fillId="4" borderId="1" xfId="0" applyFont="1" applyFill="1" applyBorder="1" applyAlignment="1">
      <alignment horizontal="left" vertical="center"/>
    </xf>
    <xf numFmtId="165" fontId="45" fillId="34" borderId="1" xfId="0" applyNumberFormat="1" applyFont="1" applyFill="1" applyBorder="1" applyAlignment="1">
      <alignment horizontal="right" vertical="center"/>
    </xf>
    <xf numFmtId="165" fontId="45" fillId="33"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5" fontId="43" fillId="34" borderId="1" xfId="0" applyNumberFormat="1" applyFont="1" applyFill="1" applyBorder="1" applyAlignment="1">
      <alignment horizontal="right" vertical="center"/>
    </xf>
    <xf numFmtId="165" fontId="43" fillId="33" borderId="1" xfId="0" applyNumberFormat="1" applyFont="1" applyFill="1" applyBorder="1" applyAlignment="1">
      <alignment horizontal="right" vertical="center"/>
    </xf>
    <xf numFmtId="165" fontId="45" fillId="9" borderId="1" xfId="0" applyNumberFormat="1" applyFont="1" applyFill="1" applyBorder="1" applyAlignment="1">
      <alignment horizontal="right" vertical="center"/>
    </xf>
    <xf numFmtId="164" fontId="43" fillId="34" borderId="1" xfId="0" applyNumberFormat="1" applyFont="1" applyFill="1" applyBorder="1" applyAlignment="1">
      <alignment horizontal="right" vertical="center"/>
    </xf>
    <xf numFmtId="164" fontId="43" fillId="33" borderId="1" xfId="0" applyNumberFormat="1" applyFont="1" applyFill="1" applyBorder="1" applyAlignment="1">
      <alignment horizontal="right" vertical="center"/>
    </xf>
    <xf numFmtId="164" fontId="3" fillId="4" borderId="1" xfId="0" applyNumberFormat="1" applyFont="1" applyFill="1" applyBorder="1" applyAlignment="1">
      <alignment horizontal="right" vertical="center"/>
    </xf>
    <xf numFmtId="165" fontId="45" fillId="8" borderId="1" xfId="0" applyNumberFormat="1" applyFont="1" applyFill="1" applyBorder="1" applyAlignment="1">
      <alignment horizontal="right" vertical="center"/>
    </xf>
    <xf numFmtId="168" fontId="43" fillId="34" borderId="1" xfId="0" applyNumberFormat="1" applyFont="1" applyFill="1" applyBorder="1" applyAlignment="1">
      <alignment horizontal="right" vertical="center"/>
    </xf>
    <xf numFmtId="168" fontId="43" fillId="33" borderId="1" xfId="0" applyNumberFormat="1" applyFont="1" applyFill="1" applyBorder="1" applyAlignment="1">
      <alignment horizontal="right" vertical="center"/>
    </xf>
    <xf numFmtId="168" fontId="3" fillId="4" borderId="1" xfId="0" applyNumberFormat="1" applyFont="1" applyFill="1" applyBorder="1" applyAlignment="1">
      <alignment horizontal="right" vertical="center"/>
    </xf>
    <xf numFmtId="167" fontId="4" fillId="34" borderId="1" xfId="0" applyNumberFormat="1" applyFont="1" applyFill="1" applyBorder="1" applyAlignment="1">
      <alignment horizontal="right" vertical="center"/>
    </xf>
    <xf numFmtId="167" fontId="4" fillId="33" borderId="1" xfId="0" applyNumberFormat="1" applyFont="1" applyFill="1" applyBorder="1" applyAlignment="1">
      <alignment horizontal="right" vertical="center"/>
    </xf>
    <xf numFmtId="167" fontId="43" fillId="34" borderId="1" xfId="0" applyNumberFormat="1" applyFont="1" applyFill="1" applyBorder="1" applyAlignment="1">
      <alignment horizontal="right" vertical="center"/>
    </xf>
    <xf numFmtId="167" fontId="43" fillId="33" borderId="1" xfId="0" applyNumberFormat="1" applyFont="1" applyFill="1" applyBorder="1" applyAlignment="1">
      <alignment horizontal="right" vertical="center"/>
    </xf>
    <xf numFmtId="0" fontId="4" fillId="31" borderId="1" xfId="0" applyFont="1" applyFill="1" applyBorder="1" applyAlignment="1">
      <alignment horizontal="left" vertical="center"/>
    </xf>
    <xf numFmtId="165" fontId="45" fillId="31" borderId="1" xfId="0" applyNumberFormat="1" applyFont="1" applyFill="1" applyBorder="1" applyAlignment="1">
      <alignment horizontal="right" vertical="center"/>
    </xf>
    <xf numFmtId="0" fontId="1" fillId="4" borderId="1" xfId="0" applyFont="1" applyFill="1" applyBorder="1" applyAlignment="1">
      <alignment horizontal="left" vertical="center" wrapText="1"/>
    </xf>
    <xf numFmtId="0" fontId="46" fillId="31" borderId="1" xfId="0" applyFont="1" applyFill="1" applyBorder="1" applyAlignment="1">
      <alignment horizontal="center" vertical="center"/>
    </xf>
    <xf numFmtId="0" fontId="46" fillId="35" borderId="1" xfId="0" applyFont="1" applyFill="1" applyBorder="1" applyAlignment="1">
      <alignment horizontal="center" vertical="center"/>
    </xf>
    <xf numFmtId="0" fontId="46" fillId="6" borderId="1" xfId="0" applyFont="1" applyFill="1" applyBorder="1" applyAlignment="1">
      <alignment horizontal="center" vertical="center"/>
    </xf>
    <xf numFmtId="0" fontId="46" fillId="34" borderId="1" xfId="0" applyFont="1" applyFill="1" applyBorder="1" applyAlignment="1">
      <alignment horizontal="center" vertical="center"/>
    </xf>
    <xf numFmtId="0" fontId="14" fillId="14" borderId="1" xfId="0" applyFont="1" applyFill="1" applyBorder="1" applyAlignment="1">
      <alignment horizontal="left" vertical="center" indent="1"/>
    </xf>
    <xf numFmtId="0" fontId="23" fillId="25" borderId="1" xfId="0" applyFont="1" applyFill="1" applyBorder="1" applyAlignment="1">
      <alignment horizontal="left" vertical="center" indent="1"/>
    </xf>
    <xf numFmtId="0" fontId="24" fillId="12" borderId="1" xfId="0" applyFont="1" applyFill="1" applyBorder="1" applyAlignment="1">
      <alignment horizontal="left" vertical="center" indent="1"/>
    </xf>
    <xf numFmtId="0" fontId="12" fillId="13" borderId="2" xfId="0" applyFont="1" applyFill="1" applyBorder="1" applyAlignment="1">
      <alignment horizontal="right" vertical="center"/>
    </xf>
    <xf numFmtId="0" fontId="12" fillId="4" borderId="2" xfId="0" applyFont="1" applyFill="1" applyBorder="1" applyAlignment="1">
      <alignment horizontal="right" vertical="center"/>
    </xf>
    <xf numFmtId="0" fontId="12" fillId="24" borderId="1" xfId="0" applyFont="1" applyFill="1" applyBorder="1" applyAlignment="1">
      <alignment horizontal="left" vertical="center" wrapText="1"/>
    </xf>
    <xf numFmtId="0" fontId="12" fillId="26" borderId="1" xfId="0" applyFont="1" applyFill="1" applyBorder="1" applyAlignment="1">
      <alignment horizontal="left" vertical="center" wrapText="1"/>
    </xf>
    <xf numFmtId="0" fontId="12" fillId="15" borderId="1" xfId="0" applyFont="1" applyFill="1" applyBorder="1" applyAlignment="1">
      <alignment horizontal="left" vertical="center" wrapText="1"/>
    </xf>
    <xf numFmtId="0" fontId="1" fillId="31" borderId="1" xfId="0" applyFont="1" applyFill="1" applyBorder="1" applyAlignment="1">
      <alignment horizontal="left" vertical="center"/>
    </xf>
    <xf numFmtId="0" fontId="5" fillId="9"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1" fillId="33" borderId="1" xfId="0" applyFont="1" applyFill="1" applyBorder="1" applyAlignment="1">
      <alignment horizontal="left" vertical="center"/>
    </xf>
    <xf numFmtId="0" fontId="1" fillId="34" borderId="1" xfId="0" applyFont="1" applyFill="1" applyBorder="1" applyAlignment="1">
      <alignment horizontal="left" vertical="center"/>
    </xf>
    <xf numFmtId="0" fontId="1" fillId="35" borderId="1" xfId="0" applyFont="1" applyFill="1" applyBorder="1" applyAlignment="1">
      <alignment horizontal="left" vertical="center"/>
    </xf>
    <xf numFmtId="0" fontId="6" fillId="32" borderId="1" xfId="0" applyFont="1" applyFill="1" applyBorder="1" applyAlignment="1">
      <alignment horizontal="left" vertical="center" wrapText="1"/>
    </xf>
    <xf numFmtId="0" fontId="4" fillId="35" borderId="1" xfId="0" applyFont="1" applyFill="1" applyBorder="1" applyAlignment="1">
      <alignment horizontal="left" vertical="center" wrapText="1"/>
    </xf>
    <xf numFmtId="0" fontId="38" fillId="6" borderId="1" xfId="0" applyFont="1" applyFill="1" applyBorder="1" applyAlignment="1">
      <alignment horizontal="left" vertical="center"/>
    </xf>
    <xf numFmtId="0" fontId="3" fillId="2"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EAF2FF"/>
      <rgbColor rgb="FF6E2C00"/>
      <rgbColor rgb="FF1A4E79"/>
      <rgbColor rgb="FF000080"/>
      <rgbColor rgb="FF808000"/>
      <rgbColor rgb="FF800080"/>
      <rgbColor rgb="FF2E75B6"/>
      <rgbColor rgb="FFD0CECE"/>
      <rgbColor rgb="FF595959"/>
      <rgbColor rgb="FFAAAAAA"/>
      <rgbColor rgb="FFC0392B"/>
      <rgbColor rgb="FFFDEBD0"/>
      <rgbColor rgb="FFD6EAF8"/>
      <rgbColor rgb="FF444444"/>
      <rgbColor rgb="FFD6E4F0"/>
      <rgbColor rgb="FF2471A3"/>
      <rgbColor rgb="FFBDD7EE"/>
      <rgbColor rgb="FF000080"/>
      <rgbColor rgb="FFFF00FF"/>
      <rgbColor rgb="FFE2EFDA"/>
      <rgbColor rgb="FFF8FBFF"/>
      <rgbColor rgb="FF800080"/>
      <rgbColor rgb="FF5D2A23"/>
      <rgbColor rgb="FF1A5276"/>
      <rgbColor rgb="FF0000FF"/>
      <rgbColor rgb="FF00CCFF"/>
      <rgbColor rgb="FFEBF5FB"/>
      <rgbColor rgb="FFD5F5E3"/>
      <rgbColor rgb="FFFCE4D6"/>
      <rgbColor rgb="FFAED6F1"/>
      <rgbColor rgb="FFFADBD8"/>
      <rgbColor rgb="FFD6DCE4"/>
      <rgbColor rgb="FFFFD7D7"/>
      <rgbColor rgb="FF4472C4"/>
      <rgbColor rgb="FFE8EAF6"/>
      <rgbColor rgb="FF92D050"/>
      <rgbColor rgb="FFC6EFCE"/>
      <rgbColor rgb="FFF2F3F4"/>
      <rgbColor rgb="FFFDFEFE"/>
      <rgbColor rgb="FF666666"/>
      <rgbColor rgb="FF999999"/>
      <rgbColor rgb="FF0D2B55"/>
      <rgbColor rgb="FF1F4E79"/>
      <rgbColor rgb="FF375623"/>
      <rgbColor rgb="FF1C2833"/>
      <rgbColor rgb="FF922B21"/>
      <rgbColor rgb="FF555555"/>
      <rgbColor rgb="FF1A3A5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showGridLines="0" zoomScaleNormal="100" workbookViewId="0">
      <pane xSplit="2" ySplit="10" topLeftCell="C54" activePane="bottomRight" state="frozen"/>
      <selection pane="topRight"/>
      <selection pane="bottomLeft"/>
      <selection pane="bottomRight" sqref="A1:J1"/>
    </sheetView>
  </sheetViews>
  <sheetFormatPr baseColWidth="10" defaultColWidth="8.6640625" defaultRowHeight="14.4" x14ac:dyDescent="0.3"/>
  <cols>
    <col min="1" max="1" width="7" customWidth="1"/>
    <col min="2" max="2" width="50.88671875" customWidth="1"/>
    <col min="3" max="9" width="13" customWidth="1"/>
    <col min="10" max="10" width="14" customWidth="1"/>
  </cols>
  <sheetData>
    <row r="1" spans="1:10" ht="12.75" customHeight="1" x14ac:dyDescent="0.3">
      <c r="A1" s="14" t="s">
        <v>0</v>
      </c>
      <c r="B1" s="14"/>
      <c r="C1" s="14"/>
      <c r="D1" s="14"/>
      <c r="E1" s="14"/>
      <c r="F1" s="14"/>
      <c r="G1" s="14"/>
      <c r="H1" s="14"/>
      <c r="I1" s="14"/>
      <c r="J1" s="14"/>
    </row>
    <row r="2" spans="1:10" ht="12.75" customHeight="1" x14ac:dyDescent="0.3">
      <c r="A2" s="13" t="s">
        <v>1</v>
      </c>
      <c r="B2" s="13"/>
      <c r="C2" s="13"/>
      <c r="D2" s="13"/>
      <c r="E2" s="13"/>
      <c r="F2" s="13"/>
      <c r="G2" s="13"/>
      <c r="H2" s="13"/>
      <c r="I2" s="13"/>
      <c r="J2" s="13"/>
    </row>
    <row r="3" spans="1:10" ht="12.75" customHeight="1" x14ac:dyDescent="0.3">
      <c r="A3" s="12" t="s">
        <v>2</v>
      </c>
      <c r="B3" s="12"/>
      <c r="C3" s="12"/>
      <c r="D3" s="12"/>
      <c r="E3" s="12"/>
      <c r="F3" s="12"/>
      <c r="G3" s="12"/>
      <c r="H3" s="12"/>
      <c r="I3" s="12"/>
      <c r="J3" s="12"/>
    </row>
    <row r="4" spans="1:10" ht="12.75" customHeight="1" x14ac:dyDescent="0.3">
      <c r="A4" s="11" t="s">
        <v>3</v>
      </c>
      <c r="B4" s="11"/>
      <c r="C4" s="11"/>
      <c r="D4" s="11"/>
      <c r="E4" s="11"/>
      <c r="F4" s="11"/>
      <c r="G4" s="11"/>
      <c r="H4" s="11"/>
      <c r="I4" s="11"/>
      <c r="J4" s="11"/>
    </row>
    <row r="5" spans="1:10" ht="12.75" customHeight="1" x14ac:dyDescent="0.3">
      <c r="A5" s="10" t="s">
        <v>4</v>
      </c>
      <c r="B5" s="10"/>
      <c r="C5" s="10"/>
      <c r="D5" s="10"/>
      <c r="E5" s="10"/>
      <c r="F5" s="10"/>
      <c r="G5" s="10"/>
      <c r="H5" s="10"/>
      <c r="I5" s="10"/>
      <c r="J5" s="10"/>
    </row>
    <row r="6" spans="1:10" ht="12.75" customHeight="1" x14ac:dyDescent="0.3">
      <c r="A6" s="9" t="s">
        <v>5</v>
      </c>
      <c r="B6" s="9"/>
      <c r="C6" s="9"/>
      <c r="D6" s="9"/>
      <c r="E6" s="9"/>
      <c r="F6" s="9"/>
      <c r="G6" s="9"/>
      <c r="H6" s="9"/>
      <c r="I6" s="9"/>
      <c r="J6" s="9"/>
    </row>
    <row r="7" spans="1:10" ht="12.75" customHeight="1" x14ac:dyDescent="0.3">
      <c r="A7" s="8" t="s">
        <v>6</v>
      </c>
      <c r="B7" s="8"/>
      <c r="C7" s="8"/>
      <c r="D7" s="8"/>
      <c r="E7" s="8"/>
      <c r="F7" s="8"/>
      <c r="G7" s="8"/>
      <c r="H7" s="8"/>
      <c r="I7" s="8"/>
      <c r="J7" s="8"/>
    </row>
    <row r="9" spans="1:10" ht="15.75" customHeight="1" x14ac:dyDescent="0.3">
      <c r="A9" s="16"/>
      <c r="B9" s="17" t="s">
        <v>7</v>
      </c>
      <c r="C9" s="18" t="s">
        <v>8</v>
      </c>
      <c r="D9" s="19" t="s">
        <v>9</v>
      </c>
      <c r="E9" s="19" t="s">
        <v>10</v>
      </c>
      <c r="F9" s="19" t="s">
        <v>11</v>
      </c>
      <c r="G9" s="19" t="s">
        <v>12</v>
      </c>
      <c r="H9" s="19" t="s">
        <v>13</v>
      </c>
      <c r="I9" s="19" t="s">
        <v>14</v>
      </c>
      <c r="J9" s="20" t="s">
        <v>15</v>
      </c>
    </row>
    <row r="10" spans="1:10" ht="12" customHeight="1" x14ac:dyDescent="0.3">
      <c r="A10" s="16"/>
      <c r="B10" s="16"/>
      <c r="C10" s="21" t="s">
        <v>16</v>
      </c>
      <c r="D10" s="21" t="s">
        <v>17</v>
      </c>
      <c r="E10" s="21" t="s">
        <v>18</v>
      </c>
      <c r="F10" s="21" t="s">
        <v>18</v>
      </c>
      <c r="G10" s="21" t="s">
        <v>18</v>
      </c>
      <c r="H10" s="21" t="s">
        <v>18</v>
      </c>
      <c r="I10" s="21" t="s">
        <v>18</v>
      </c>
      <c r="J10" s="16"/>
    </row>
    <row r="11" spans="1:10" ht="15" customHeight="1" x14ac:dyDescent="0.3">
      <c r="A11" s="7" t="s">
        <v>19</v>
      </c>
      <c r="B11" s="7"/>
      <c r="C11" s="7"/>
      <c r="D11" s="7"/>
      <c r="E11" s="7"/>
      <c r="F11" s="7"/>
      <c r="G11" s="7"/>
      <c r="H11" s="7"/>
      <c r="I11" s="7"/>
      <c r="J11" s="7"/>
    </row>
    <row r="12" spans="1:10" ht="13.5" customHeight="1" x14ac:dyDescent="0.3">
      <c r="A12" s="16"/>
      <c r="B12" s="23" t="s">
        <v>20</v>
      </c>
      <c r="C12" s="24" t="s">
        <v>21</v>
      </c>
      <c r="D12" s="25">
        <f>(Hypothèses!B9-Hypothèses!B8)/Hypothèses!B8</f>
        <v>0.11047148885533765</v>
      </c>
      <c r="E12" s="25">
        <f>Hypothèses!B10</f>
        <v>0.08</v>
      </c>
      <c r="F12" s="25">
        <f>Hypothèses!B11</f>
        <v>7.0000000000000007E-2</v>
      </c>
      <c r="G12" s="25">
        <f>Hypothèses!B12</f>
        <v>0.05</v>
      </c>
      <c r="H12" s="25">
        <f>Hypothèses!B12</f>
        <v>0.05</v>
      </c>
      <c r="I12" s="25">
        <f>Hypothèses!B12</f>
        <v>0.05</v>
      </c>
      <c r="J12" s="16" t="s">
        <v>21</v>
      </c>
    </row>
    <row r="13" spans="1:10" ht="15" customHeight="1" x14ac:dyDescent="0.3">
      <c r="A13" s="24"/>
      <c r="B13" s="26" t="s">
        <v>22</v>
      </c>
      <c r="C13" s="27">
        <f>Hypothèses!B8</f>
        <v>38818.224000000002</v>
      </c>
      <c r="D13" s="27">
        <f>Hypothèses!B9</f>
        <v>43106.531000000003</v>
      </c>
      <c r="E13" s="27">
        <f>D13*(1+E12)</f>
        <v>46555.05348000001</v>
      </c>
      <c r="F13" s="27">
        <f>E13*(1+F12)</f>
        <v>49813.907223600014</v>
      </c>
      <c r="G13" s="27">
        <f>F13*(1+G12)</f>
        <v>52304.602584780019</v>
      </c>
      <c r="H13" s="27">
        <f>G13*(1+H12)</f>
        <v>54919.832714019023</v>
      </c>
      <c r="I13" s="27">
        <f>H13*(1+I12)</f>
        <v>57665.82434971998</v>
      </c>
      <c r="J13" s="28">
        <f>SUM(C13:I13)</f>
        <v>343183.97535211901</v>
      </c>
    </row>
    <row r="14" spans="1:10" ht="13.5" customHeight="1" x14ac:dyDescent="0.3">
      <c r="A14" s="16"/>
      <c r="B14" s="23" t="s">
        <v>23</v>
      </c>
      <c r="C14" s="29">
        <v>0.62580000000000002</v>
      </c>
      <c r="D14" s="25">
        <f>Hypothèses!B15</f>
        <v>0.63</v>
      </c>
      <c r="E14" s="25">
        <f>Hypothèses!B15</f>
        <v>0.63</v>
      </c>
      <c r="F14" s="25">
        <f>Hypothèses!B15</f>
        <v>0.63</v>
      </c>
      <c r="G14" s="25">
        <f>Hypothèses!B15</f>
        <v>0.63</v>
      </c>
      <c r="H14" s="25">
        <f>Hypothèses!B15</f>
        <v>0.63</v>
      </c>
      <c r="I14" s="25">
        <f>Hypothèses!B15</f>
        <v>0.63</v>
      </c>
      <c r="J14" s="16" t="s">
        <v>21</v>
      </c>
    </row>
    <row r="15" spans="1:10" ht="13.5" customHeight="1" x14ac:dyDescent="0.3">
      <c r="A15" s="24"/>
      <c r="B15" s="30" t="s">
        <v>24</v>
      </c>
      <c r="C15" s="31">
        <f t="shared" ref="C15:I15" si="0">C13*C14</f>
        <v>24292.444579200001</v>
      </c>
      <c r="D15" s="31">
        <f t="shared" si="0"/>
        <v>27157.114530000003</v>
      </c>
      <c r="E15" s="31">
        <f t="shared" si="0"/>
        <v>29329.683692400005</v>
      </c>
      <c r="F15" s="31">
        <f t="shared" si="0"/>
        <v>31382.76155086801</v>
      </c>
      <c r="G15" s="31">
        <f t="shared" si="0"/>
        <v>32951.899628411411</v>
      </c>
      <c r="H15" s="31">
        <f t="shared" si="0"/>
        <v>34599.494609831985</v>
      </c>
      <c r="I15" s="31">
        <f t="shared" si="0"/>
        <v>36329.469340323587</v>
      </c>
      <c r="J15" s="32">
        <f>SUM(C15:I15)</f>
        <v>216042.86793103497</v>
      </c>
    </row>
    <row r="16" spans="1:10" ht="13.5" customHeight="1" x14ac:dyDescent="0.3">
      <c r="A16" s="16"/>
      <c r="B16" s="23" t="s">
        <v>25</v>
      </c>
      <c r="C16" s="25">
        <f>Hypothèses!B16</f>
        <v>0.1215</v>
      </c>
      <c r="D16" s="25">
        <f>Hypothèses!B16</f>
        <v>0.1215</v>
      </c>
      <c r="E16" s="25">
        <f>Hypothèses!B16</f>
        <v>0.1215</v>
      </c>
      <c r="F16" s="25">
        <f>Hypothèses!B16</f>
        <v>0.1215</v>
      </c>
      <c r="G16" s="25">
        <f>Hypothèses!B16</f>
        <v>0.1215</v>
      </c>
      <c r="H16" s="25">
        <f>Hypothèses!B16</f>
        <v>0.1215</v>
      </c>
      <c r="I16" s="25">
        <f>Hypothèses!B16</f>
        <v>0.1215</v>
      </c>
      <c r="J16" s="16" t="s">
        <v>21</v>
      </c>
    </row>
    <row r="17" spans="1:10" ht="13.5" customHeight="1" x14ac:dyDescent="0.3">
      <c r="A17" s="24"/>
      <c r="B17" s="30" t="s">
        <v>26</v>
      </c>
      <c r="C17" s="31">
        <f t="shared" ref="C17:I17" si="1">C13*C16</f>
        <v>4716.4142160000001</v>
      </c>
      <c r="D17" s="31">
        <f t="shared" si="1"/>
        <v>5237.4435165000004</v>
      </c>
      <c r="E17" s="31">
        <f t="shared" si="1"/>
        <v>5656.4389978200006</v>
      </c>
      <c r="F17" s="31">
        <f t="shared" si="1"/>
        <v>6052.3897276674015</v>
      </c>
      <c r="G17" s="31">
        <f t="shared" si="1"/>
        <v>6355.0092140507722</v>
      </c>
      <c r="H17" s="31">
        <f t="shared" si="1"/>
        <v>6672.7596747533107</v>
      </c>
      <c r="I17" s="31">
        <f t="shared" si="1"/>
        <v>7006.3976584909778</v>
      </c>
      <c r="J17" s="32">
        <f>SUM(C17:I17)</f>
        <v>41696.853005282464</v>
      </c>
    </row>
    <row r="18" spans="1:10" ht="13.5" customHeight="1" x14ac:dyDescent="0.3">
      <c r="A18" s="16"/>
      <c r="B18" s="23" t="s">
        <v>27</v>
      </c>
      <c r="C18" s="25">
        <f>Hypothèses!B17</f>
        <v>7.2499999999999995E-2</v>
      </c>
      <c r="D18" s="25">
        <f>Hypothèses!B17</f>
        <v>7.2499999999999995E-2</v>
      </c>
      <c r="E18" s="25">
        <f>Hypothèses!B17</f>
        <v>7.2499999999999995E-2</v>
      </c>
      <c r="F18" s="25">
        <f>Hypothèses!B17</f>
        <v>7.2499999999999995E-2</v>
      </c>
      <c r="G18" s="25">
        <f>Hypothèses!B17</f>
        <v>7.2499999999999995E-2</v>
      </c>
      <c r="H18" s="25">
        <f>Hypothèses!B17</f>
        <v>7.2499999999999995E-2</v>
      </c>
      <c r="I18" s="25">
        <f>Hypothèses!B17</f>
        <v>7.2499999999999995E-2</v>
      </c>
      <c r="J18" s="16" t="s">
        <v>21</v>
      </c>
    </row>
    <row r="19" spans="1:10" ht="13.5" customHeight="1" x14ac:dyDescent="0.3">
      <c r="A19" s="24"/>
      <c r="B19" s="30" t="s">
        <v>28</v>
      </c>
      <c r="C19" s="31">
        <f t="shared" ref="C19:I19" si="2">C13*C18</f>
        <v>2814.3212399999998</v>
      </c>
      <c r="D19" s="31">
        <f t="shared" si="2"/>
        <v>3125.2234975000001</v>
      </c>
      <c r="E19" s="31">
        <f t="shared" si="2"/>
        <v>3375.2413773000003</v>
      </c>
      <c r="F19" s="31">
        <f t="shared" si="2"/>
        <v>3611.5082737110006</v>
      </c>
      <c r="G19" s="31">
        <f t="shared" si="2"/>
        <v>3792.0836873965513</v>
      </c>
      <c r="H19" s="31">
        <f t="shared" si="2"/>
        <v>3981.687871766379</v>
      </c>
      <c r="I19" s="31">
        <f t="shared" si="2"/>
        <v>4180.772265354698</v>
      </c>
      <c r="J19" s="32">
        <f>SUM(C19:I19)</f>
        <v>24880.83821302863</v>
      </c>
    </row>
    <row r="20" spans="1:10" ht="13.5" customHeight="1" x14ac:dyDescent="0.3">
      <c r="A20" s="16"/>
      <c r="B20" s="33" t="s">
        <v>29</v>
      </c>
      <c r="C20" s="34">
        <v>0</v>
      </c>
      <c r="D20" s="34">
        <v>0</v>
      </c>
      <c r="E20" s="34">
        <v>0</v>
      </c>
      <c r="F20" s="34">
        <v>0</v>
      </c>
      <c r="G20" s="34">
        <v>0</v>
      </c>
      <c r="H20" s="34">
        <v>0</v>
      </c>
      <c r="I20" s="34">
        <v>0</v>
      </c>
      <c r="J20" s="16" t="s">
        <v>21</v>
      </c>
    </row>
    <row r="21" spans="1:10" ht="13.5" customHeight="1" x14ac:dyDescent="0.3">
      <c r="A21" s="24"/>
      <c r="B21" s="35" t="s">
        <v>30</v>
      </c>
      <c r="C21" s="29">
        <f>IF(C13=0,"-",(C13-C15-C17-C19+C20)/C13)</f>
        <v>0.18020000000000003</v>
      </c>
      <c r="D21" s="29">
        <f t="shared" ref="D21:I21" si="3">(D13-D15-D17-D19+D20)/D13</f>
        <v>0.17599999999999999</v>
      </c>
      <c r="E21" s="29">
        <f t="shared" si="3"/>
        <v>0.17600000000000002</v>
      </c>
      <c r="F21" s="29">
        <f t="shared" si="3"/>
        <v>0.17599999999999999</v>
      </c>
      <c r="G21" s="29">
        <f t="shared" si="3"/>
        <v>0.17600000000000002</v>
      </c>
      <c r="H21" s="29">
        <f t="shared" si="3"/>
        <v>0.17600000000000002</v>
      </c>
      <c r="I21" s="29">
        <f t="shared" si="3"/>
        <v>0.17600000000000002</v>
      </c>
      <c r="J21" s="16" t="s">
        <v>21</v>
      </c>
    </row>
    <row r="22" spans="1:10" ht="15" customHeight="1" x14ac:dyDescent="0.3">
      <c r="A22" s="24"/>
      <c r="B22" s="26" t="s">
        <v>31</v>
      </c>
      <c r="C22" s="27">
        <f t="shared" ref="C22:I22" si="4">C13-C15-C17-C19+C20</f>
        <v>6995.043964800001</v>
      </c>
      <c r="D22" s="27">
        <f t="shared" si="4"/>
        <v>7586.7494560000005</v>
      </c>
      <c r="E22" s="27">
        <f t="shared" si="4"/>
        <v>8193.6894124800019</v>
      </c>
      <c r="F22" s="27">
        <f t="shared" si="4"/>
        <v>8767.2476713536016</v>
      </c>
      <c r="G22" s="27">
        <f t="shared" si="4"/>
        <v>9205.6100549212842</v>
      </c>
      <c r="H22" s="27">
        <f t="shared" si="4"/>
        <v>9665.8905576673496</v>
      </c>
      <c r="I22" s="27">
        <f t="shared" si="4"/>
        <v>10149.185085550718</v>
      </c>
      <c r="J22" s="28">
        <f>SUM(C22:I22)</f>
        <v>60563.416202772962</v>
      </c>
    </row>
    <row r="23" spans="1:10" ht="15" customHeight="1" x14ac:dyDescent="0.3">
      <c r="A23" s="6" t="s">
        <v>32</v>
      </c>
      <c r="B23" s="6"/>
      <c r="C23" s="6"/>
      <c r="D23" s="6"/>
      <c r="E23" s="6"/>
      <c r="F23" s="6"/>
      <c r="G23" s="6"/>
      <c r="H23" s="6"/>
      <c r="I23" s="6"/>
      <c r="J23" s="6"/>
    </row>
    <row r="24" spans="1:10" ht="13.5" customHeight="1" x14ac:dyDescent="0.3">
      <c r="A24" s="24"/>
      <c r="B24" s="35" t="s">
        <v>33</v>
      </c>
      <c r="C24" s="31">
        <f>Hypothèses!B20</f>
        <v>2368</v>
      </c>
      <c r="D24" s="31">
        <f>Hypothèses!B20</f>
        <v>2368</v>
      </c>
      <c r="E24" s="31">
        <f>Hypothèses!B20</f>
        <v>2368</v>
      </c>
      <c r="F24" s="31">
        <f>Hypothèses!B20</f>
        <v>2368</v>
      </c>
      <c r="G24" s="31">
        <f>Hypothèses!B20</f>
        <v>2368</v>
      </c>
      <c r="H24" s="31">
        <f>Hypothèses!B20</f>
        <v>2368</v>
      </c>
      <c r="I24" s="31">
        <f>Hypothèses!B20</f>
        <v>2368</v>
      </c>
      <c r="J24" s="16" t="s">
        <v>21</v>
      </c>
    </row>
    <row r="25" spans="1:10" ht="13.5" customHeight="1" x14ac:dyDescent="0.3">
      <c r="A25" s="36"/>
      <c r="B25" s="37" t="s">
        <v>34</v>
      </c>
      <c r="C25" s="31">
        <v>0</v>
      </c>
      <c r="D25" s="31">
        <v>0</v>
      </c>
      <c r="E25" s="34">
        <f>IFERROR(Hypothèses!B39/Hypothèses!C39,0)+IFERROR(Hypothèses!B40/Hypothèses!C40,0)+IFERROR(Hypothèses!B41/Hypothèses!C41,0)</f>
        <v>37.572000000000003</v>
      </c>
      <c r="F25" s="34">
        <f>IFERROR(Hypothèses!B39/Hypothèses!C39,0)+IFERROR(Hypothèses!B40/Hypothèses!C40,0)+IFERROR(Hypothèses!B41/Hypothèses!C41,0)</f>
        <v>37.572000000000003</v>
      </c>
      <c r="G25" s="34">
        <f>IFERROR(Hypothèses!B39/Hypothèses!C39,0)+IFERROR(Hypothèses!B40/Hypothèses!C40,0)+IFERROR(Hypothèses!B41/Hypothèses!C41,0)</f>
        <v>37.572000000000003</v>
      </c>
      <c r="H25" s="34">
        <f>IFERROR(Hypothèses!B39/Hypothèses!C39,0)+IFERROR(Hypothèses!B40/Hypothèses!C40,0)+IFERROR(Hypothèses!B41/Hypothèses!C41,0)</f>
        <v>37.572000000000003</v>
      </c>
      <c r="I25" s="34">
        <f>IFERROR(Hypothèses!B39/Hypothèses!C39,0)+IFERROR(Hypothèses!B40/Hypothèses!C40,0)+IFERROR(Hypothèses!B41/Hypothèses!C41,0)</f>
        <v>37.572000000000003</v>
      </c>
      <c r="J25" s="16" t="s">
        <v>21</v>
      </c>
    </row>
    <row r="26" spans="1:10" ht="15" customHeight="1" x14ac:dyDescent="0.3">
      <c r="A26" s="24"/>
      <c r="B26" s="26" t="s">
        <v>35</v>
      </c>
      <c r="C26" s="27">
        <f t="shared" ref="C26:I26" si="5">C24+C25</f>
        <v>2368</v>
      </c>
      <c r="D26" s="27">
        <f t="shared" si="5"/>
        <v>2368</v>
      </c>
      <c r="E26" s="27">
        <f t="shared" si="5"/>
        <v>2405.5720000000001</v>
      </c>
      <c r="F26" s="27">
        <f t="shared" si="5"/>
        <v>2405.5720000000001</v>
      </c>
      <c r="G26" s="27">
        <f t="shared" si="5"/>
        <v>2405.5720000000001</v>
      </c>
      <c r="H26" s="27">
        <f t="shared" si="5"/>
        <v>2405.5720000000001</v>
      </c>
      <c r="I26" s="27">
        <f t="shared" si="5"/>
        <v>2405.5720000000001</v>
      </c>
      <c r="J26" s="28">
        <f>SUM(C26:I26)</f>
        <v>16763.86</v>
      </c>
    </row>
    <row r="27" spans="1:10" ht="15" customHeight="1" x14ac:dyDescent="0.3">
      <c r="A27" s="6" t="s">
        <v>36</v>
      </c>
      <c r="B27" s="6"/>
      <c r="C27" s="6"/>
      <c r="D27" s="6"/>
      <c r="E27" s="6"/>
      <c r="F27" s="6"/>
      <c r="G27" s="6"/>
      <c r="H27" s="6"/>
      <c r="I27" s="6"/>
      <c r="J27" s="6"/>
    </row>
    <row r="28" spans="1:10" ht="13.5" customHeight="1" x14ac:dyDescent="0.3">
      <c r="A28" s="24"/>
      <c r="B28" s="35" t="s">
        <v>37</v>
      </c>
      <c r="C28" s="31">
        <v>-507</v>
      </c>
      <c r="D28" s="31">
        <v>-507</v>
      </c>
      <c r="E28" s="31">
        <v>-507</v>
      </c>
      <c r="F28" s="31">
        <v>-507</v>
      </c>
      <c r="G28" s="31">
        <v>-507</v>
      </c>
      <c r="H28" s="31">
        <v>-507</v>
      </c>
      <c r="I28" s="31">
        <v>-507</v>
      </c>
      <c r="J28" s="16" t="s">
        <v>21</v>
      </c>
    </row>
    <row r="29" spans="1:10" ht="13.5" customHeight="1" x14ac:dyDescent="0.3">
      <c r="A29" s="38"/>
      <c r="B29" s="39" t="s">
        <v>38</v>
      </c>
      <c r="C29" s="31">
        <v>0</v>
      </c>
      <c r="D29" s="31">
        <v>0</v>
      </c>
      <c r="E29" s="40">
        <f>-Hypothèses!B29*Hypothèses!B31</f>
        <v>-375</v>
      </c>
      <c r="F29" s="40">
        <f>-Hypothèses!B29*Hypothèses!B31</f>
        <v>-375</v>
      </c>
      <c r="G29" s="40">
        <f>-Hypothèses!B29*Hypothèses!B31</f>
        <v>-375</v>
      </c>
      <c r="H29" s="40">
        <f>-Hypothèses!B29*Hypothèses!B31</f>
        <v>-375</v>
      </c>
      <c r="I29" s="40">
        <f>-Hypothèses!B29*Hypothèses!B31</f>
        <v>-375</v>
      </c>
      <c r="J29" s="16" t="s">
        <v>21</v>
      </c>
    </row>
    <row r="30" spans="1:10" ht="15" customHeight="1" x14ac:dyDescent="0.3">
      <c r="A30" s="24"/>
      <c r="B30" s="26" t="s">
        <v>39</v>
      </c>
      <c r="C30" s="27">
        <f t="shared" ref="C30:I30" si="6">C28+C29</f>
        <v>-507</v>
      </c>
      <c r="D30" s="27">
        <f t="shared" si="6"/>
        <v>-507</v>
      </c>
      <c r="E30" s="27">
        <f t="shared" si="6"/>
        <v>-882</v>
      </c>
      <c r="F30" s="27">
        <f t="shared" si="6"/>
        <v>-882</v>
      </c>
      <c r="G30" s="27">
        <f t="shared" si="6"/>
        <v>-882</v>
      </c>
      <c r="H30" s="27">
        <f t="shared" si="6"/>
        <v>-882</v>
      </c>
      <c r="I30" s="27">
        <f t="shared" si="6"/>
        <v>-882</v>
      </c>
      <c r="J30" s="16" t="s">
        <v>21</v>
      </c>
    </row>
    <row r="31" spans="1:10" ht="13.5" customHeight="1" x14ac:dyDescent="0.3">
      <c r="A31" s="41"/>
      <c r="B31" s="33" t="s">
        <v>40</v>
      </c>
      <c r="C31" s="34">
        <v>0</v>
      </c>
      <c r="D31" s="34">
        <v>0</v>
      </c>
      <c r="E31" s="34">
        <v>0</v>
      </c>
      <c r="F31" s="34">
        <v>0</v>
      </c>
      <c r="G31" s="34">
        <v>0</v>
      </c>
      <c r="H31" s="34">
        <v>0</v>
      </c>
      <c r="I31" s="34">
        <v>0</v>
      </c>
      <c r="J31" s="16" t="s">
        <v>21</v>
      </c>
    </row>
    <row r="32" spans="1:10" ht="15" customHeight="1" x14ac:dyDescent="0.3">
      <c r="A32" s="24"/>
      <c r="B32" s="26" t="s">
        <v>41</v>
      </c>
      <c r="C32" s="27">
        <f t="shared" ref="C32:I32" si="7">C22-C26+C30+C31</f>
        <v>4120.043964800001</v>
      </c>
      <c r="D32" s="27">
        <f t="shared" si="7"/>
        <v>4711.7494560000005</v>
      </c>
      <c r="E32" s="27">
        <f t="shared" si="7"/>
        <v>4906.1174124800018</v>
      </c>
      <c r="F32" s="27">
        <f t="shared" si="7"/>
        <v>5479.6756713536015</v>
      </c>
      <c r="G32" s="27">
        <f t="shared" si="7"/>
        <v>5918.0380549212841</v>
      </c>
      <c r="H32" s="27">
        <f t="shared" si="7"/>
        <v>6378.3185576673495</v>
      </c>
      <c r="I32" s="27">
        <f t="shared" si="7"/>
        <v>6861.6130855507181</v>
      </c>
      <c r="J32" s="28">
        <f>SUM(C32:I32)</f>
        <v>38375.556202772961</v>
      </c>
    </row>
    <row r="33" spans="1:10" ht="13.5" customHeight="1" x14ac:dyDescent="0.3">
      <c r="A33" s="24"/>
      <c r="B33" s="35" t="s">
        <v>42</v>
      </c>
      <c r="C33" s="31">
        <f>IF(C32&gt;0,C32*Hypothèses!B34,0)</f>
        <v>1030.0109912000003</v>
      </c>
      <c r="D33" s="31">
        <f>IF(D32&gt;0,D32*Hypothèses!B34,0)</f>
        <v>1177.9373640000001</v>
      </c>
      <c r="E33" s="31">
        <f>IF(E32&gt;0,E32*Hypothèses!B34,0)</f>
        <v>1226.5293531200005</v>
      </c>
      <c r="F33" s="31">
        <f>IF(F32&gt;0,F32*Hypothèses!B34,0)</f>
        <v>1369.9189178384004</v>
      </c>
      <c r="G33" s="31">
        <f>IF(G32&gt;0,G32*Hypothèses!B34,0)</f>
        <v>1479.509513730321</v>
      </c>
      <c r="H33" s="31">
        <f>IF(H32&gt;0,H32*Hypothèses!B34,0)</f>
        <v>1594.5796394168374</v>
      </c>
      <c r="I33" s="31">
        <f>IF(I32&gt;0,I32*Hypothèses!B34,0)</f>
        <v>1715.4032713876795</v>
      </c>
      <c r="J33" s="32">
        <f>SUM(C33:I33)</f>
        <v>9593.8890506932403</v>
      </c>
    </row>
    <row r="34" spans="1:10" ht="15" customHeight="1" x14ac:dyDescent="0.3">
      <c r="A34" s="24"/>
      <c r="B34" s="26" t="s">
        <v>43</v>
      </c>
      <c r="C34" s="27">
        <f t="shared" ref="C34:I34" si="8">C32-C33</f>
        <v>3090.0329736000008</v>
      </c>
      <c r="D34" s="27">
        <f t="shared" si="8"/>
        <v>3533.8120920000001</v>
      </c>
      <c r="E34" s="27">
        <f t="shared" si="8"/>
        <v>3679.5880593600014</v>
      </c>
      <c r="F34" s="27">
        <f t="shared" si="8"/>
        <v>4109.7567535152011</v>
      </c>
      <c r="G34" s="27">
        <f t="shared" si="8"/>
        <v>4438.5285411909626</v>
      </c>
      <c r="H34" s="27">
        <f t="shared" si="8"/>
        <v>4783.7389182505121</v>
      </c>
      <c r="I34" s="27">
        <f t="shared" si="8"/>
        <v>5146.2098141630386</v>
      </c>
      <c r="J34" s="28">
        <f>SUM(C34:I34)</f>
        <v>28781.667152079714</v>
      </c>
    </row>
    <row r="35" spans="1:10" ht="15" customHeight="1" x14ac:dyDescent="0.3">
      <c r="A35" s="24"/>
      <c r="B35" s="26" t="s">
        <v>44</v>
      </c>
      <c r="C35" s="27">
        <f t="shared" ref="C35:I35" si="9">C34+C26</f>
        <v>5458.0329736000003</v>
      </c>
      <c r="D35" s="27">
        <f t="shared" si="9"/>
        <v>5901.8120920000001</v>
      </c>
      <c r="E35" s="27">
        <f t="shared" si="9"/>
        <v>6085.1600593600015</v>
      </c>
      <c r="F35" s="27">
        <f t="shared" si="9"/>
        <v>6515.3287535152012</v>
      </c>
      <c r="G35" s="27">
        <f t="shared" si="9"/>
        <v>6844.1005411909628</v>
      </c>
      <c r="H35" s="27">
        <f t="shared" si="9"/>
        <v>7189.3109182505123</v>
      </c>
      <c r="I35" s="27">
        <f t="shared" si="9"/>
        <v>7551.7818141630387</v>
      </c>
      <c r="J35" s="28">
        <f>SUM(C35:I35)</f>
        <v>45545.527152079718</v>
      </c>
    </row>
    <row r="36" spans="1:10" ht="15" customHeight="1" x14ac:dyDescent="0.3">
      <c r="A36" s="7" t="s">
        <v>45</v>
      </c>
      <c r="B36" s="7"/>
      <c r="C36" s="7"/>
      <c r="D36" s="7"/>
      <c r="E36" s="7"/>
      <c r="F36" s="7"/>
      <c r="G36" s="7"/>
      <c r="H36" s="7"/>
      <c r="I36" s="7"/>
      <c r="J36" s="7"/>
    </row>
    <row r="37" spans="1:10" ht="13.5" customHeight="1" x14ac:dyDescent="0.3">
      <c r="A37" s="42" t="s">
        <v>46</v>
      </c>
      <c r="B37" s="33" t="s">
        <v>47</v>
      </c>
      <c r="C37" s="43">
        <v>246</v>
      </c>
      <c r="D37" s="44">
        <f>Hypothèses!B23+Hypothèses!B24-Hypothèses!B25</f>
        <v>185</v>
      </c>
      <c r="E37" s="44">
        <f>Hypothèses!B23+Hypothèses!B24-Hypothèses!B25</f>
        <v>185</v>
      </c>
      <c r="F37" s="44">
        <f>Hypothèses!B23+Hypothèses!B24-Hypothèses!B25</f>
        <v>185</v>
      </c>
      <c r="G37" s="44">
        <f>Hypothèses!B23+Hypothèses!B24-Hypothèses!B25</f>
        <v>185</v>
      </c>
      <c r="H37" s="44">
        <f>Hypothèses!B23+Hypothèses!B24-Hypothèses!B25</f>
        <v>185</v>
      </c>
      <c r="I37" s="44">
        <f>Hypothèses!B23+Hypothèses!B24-Hypothèses!B25</f>
        <v>185</v>
      </c>
      <c r="J37" s="16" t="s">
        <v>21</v>
      </c>
    </row>
    <row r="38" spans="1:10" ht="13.5" customHeight="1" x14ac:dyDescent="0.3">
      <c r="A38" s="24"/>
      <c r="B38" s="30" t="s">
        <v>48</v>
      </c>
      <c r="C38" s="31">
        <f t="shared" ref="C38:I38" si="10">C13*C37/365</f>
        <v>26162.419463013699</v>
      </c>
      <c r="D38" s="31">
        <f t="shared" si="10"/>
        <v>21848.515712328768</v>
      </c>
      <c r="E38" s="31">
        <f t="shared" si="10"/>
        <v>23596.396969315072</v>
      </c>
      <c r="F38" s="31">
        <f t="shared" si="10"/>
        <v>25248.144757167134</v>
      </c>
      <c r="G38" s="31">
        <f t="shared" si="10"/>
        <v>26510.551995025489</v>
      </c>
      <c r="H38" s="31">
        <f t="shared" si="10"/>
        <v>27836.079594776766</v>
      </c>
      <c r="I38" s="31">
        <f t="shared" si="10"/>
        <v>29227.883574515607</v>
      </c>
      <c r="J38" s="16" t="s">
        <v>21</v>
      </c>
    </row>
    <row r="39" spans="1:10" ht="13.5" customHeight="1" x14ac:dyDescent="0.3">
      <c r="A39" s="24"/>
      <c r="B39" s="35" t="s">
        <v>49</v>
      </c>
      <c r="C39" s="31">
        <f>C38-26144.985</f>
        <v>17.434463013698405</v>
      </c>
      <c r="D39" s="31">
        <f t="shared" ref="D39:I39" si="11">D38-C38</f>
        <v>-4313.9037506849309</v>
      </c>
      <c r="E39" s="31">
        <f t="shared" si="11"/>
        <v>1747.8812569863039</v>
      </c>
      <c r="F39" s="31">
        <f t="shared" si="11"/>
        <v>1651.7477878520622</v>
      </c>
      <c r="G39" s="31">
        <f t="shared" si="11"/>
        <v>1262.4072378583551</v>
      </c>
      <c r="H39" s="31">
        <f t="shared" si="11"/>
        <v>1325.5275997512763</v>
      </c>
      <c r="I39" s="31">
        <f t="shared" si="11"/>
        <v>1391.803979738841</v>
      </c>
      <c r="J39" s="32">
        <f>SUM(C39:I39)</f>
        <v>3082.898574515606</v>
      </c>
    </row>
    <row r="40" spans="1:10" ht="15" customHeight="1" x14ac:dyDescent="0.3">
      <c r="A40" s="42" t="s">
        <v>46</v>
      </c>
      <c r="B40" s="26" t="s">
        <v>50</v>
      </c>
      <c r="C40" s="27">
        <f t="shared" ref="C40:I40" si="12">C35-C39</f>
        <v>5440.5985105863019</v>
      </c>
      <c r="D40" s="27">
        <f t="shared" si="12"/>
        <v>10215.715842684931</v>
      </c>
      <c r="E40" s="27">
        <f t="shared" si="12"/>
        <v>4337.2788023736975</v>
      </c>
      <c r="F40" s="27">
        <f t="shared" si="12"/>
        <v>4863.5809656631391</v>
      </c>
      <c r="G40" s="27">
        <f t="shared" si="12"/>
        <v>5581.6933033326077</v>
      </c>
      <c r="H40" s="27">
        <f t="shared" si="12"/>
        <v>5863.783318499236</v>
      </c>
      <c r="I40" s="27">
        <f t="shared" si="12"/>
        <v>6159.9778344241977</v>
      </c>
      <c r="J40" s="28">
        <f>SUM(C40:I40)</f>
        <v>42462.628577564108</v>
      </c>
    </row>
    <row r="41" spans="1:10" ht="15" customHeight="1" x14ac:dyDescent="0.3">
      <c r="A41" s="7" t="s">
        <v>51</v>
      </c>
      <c r="B41" s="7"/>
      <c r="C41" s="7"/>
      <c r="D41" s="7"/>
      <c r="E41" s="7"/>
      <c r="F41" s="7"/>
      <c r="G41" s="7"/>
      <c r="H41" s="7"/>
      <c r="I41" s="7"/>
      <c r="J41" s="7"/>
    </row>
    <row r="42" spans="1:10" ht="13.5" customHeight="1" x14ac:dyDescent="0.3">
      <c r="A42" s="16"/>
      <c r="B42" s="45" t="s">
        <v>52</v>
      </c>
      <c r="C42" s="34">
        <v>0</v>
      </c>
      <c r="D42" s="34">
        <v>0</v>
      </c>
      <c r="E42" s="34">
        <v>0</v>
      </c>
      <c r="F42" s="34">
        <v>0</v>
      </c>
      <c r="G42" s="34">
        <v>0</v>
      </c>
      <c r="H42" s="34">
        <v>0</v>
      </c>
      <c r="I42" s="34">
        <v>0</v>
      </c>
      <c r="J42" s="16" t="s">
        <v>21</v>
      </c>
    </row>
    <row r="43" spans="1:10" ht="13.5" customHeight="1" x14ac:dyDescent="0.3">
      <c r="A43" s="16"/>
      <c r="B43" s="45" t="s">
        <v>53</v>
      </c>
      <c r="C43" s="31">
        <v>0</v>
      </c>
      <c r="D43" s="31">
        <v>0</v>
      </c>
      <c r="E43" s="34">
        <f>IFERROR(Hypothèses!B39,0)+IFERROR(Hypothèses!B40,0)+IFERROR(Hypothèses!B41,0)</f>
        <v>375.72</v>
      </c>
      <c r="F43" s="34">
        <v>0</v>
      </c>
      <c r="G43" s="34">
        <v>0</v>
      </c>
      <c r="H43" s="34">
        <v>0</v>
      </c>
      <c r="I43" s="34">
        <v>0</v>
      </c>
      <c r="J43" s="32">
        <f>SUM(C43:I43)</f>
        <v>375.72</v>
      </c>
    </row>
    <row r="44" spans="1:10" ht="13.5" customHeight="1" x14ac:dyDescent="0.3">
      <c r="A44" s="16"/>
      <c r="B44" s="45" t="s">
        <v>54</v>
      </c>
      <c r="C44" s="34">
        <v>0</v>
      </c>
      <c r="D44" s="34">
        <v>0</v>
      </c>
      <c r="E44" s="34">
        <v>0</v>
      </c>
      <c r="F44" s="34">
        <v>0</v>
      </c>
      <c r="G44" s="34">
        <v>0</v>
      </c>
      <c r="H44" s="34">
        <v>0</v>
      </c>
      <c r="I44" s="34">
        <v>0</v>
      </c>
      <c r="J44" s="16" t="s">
        <v>21</v>
      </c>
    </row>
    <row r="45" spans="1:10" ht="15" customHeight="1" x14ac:dyDescent="0.3">
      <c r="A45" s="42" t="s">
        <v>55</v>
      </c>
      <c r="B45" s="26" t="s">
        <v>56</v>
      </c>
      <c r="C45" s="27">
        <f t="shared" ref="C45:I45" si="13">-C42-C43+C44</f>
        <v>0</v>
      </c>
      <c r="D45" s="27">
        <f t="shared" si="13"/>
        <v>0</v>
      </c>
      <c r="E45" s="27">
        <f t="shared" si="13"/>
        <v>-375.72</v>
      </c>
      <c r="F45" s="27">
        <f t="shared" si="13"/>
        <v>0</v>
      </c>
      <c r="G45" s="27">
        <f t="shared" si="13"/>
        <v>0</v>
      </c>
      <c r="H45" s="27">
        <f t="shared" si="13"/>
        <v>0</v>
      </c>
      <c r="I45" s="27">
        <f t="shared" si="13"/>
        <v>0</v>
      </c>
      <c r="J45" s="28">
        <f>SUM(C45:I45)</f>
        <v>-375.72</v>
      </c>
    </row>
    <row r="46" spans="1:10" ht="15" customHeight="1" x14ac:dyDescent="0.3">
      <c r="A46" s="42" t="s">
        <v>57</v>
      </c>
      <c r="B46" s="26" t="s">
        <v>58</v>
      </c>
      <c r="C46" s="27">
        <f t="shared" ref="C46:I46" si="14">C40+C45</f>
        <v>5440.5985105863019</v>
      </c>
      <c r="D46" s="27">
        <f t="shared" si="14"/>
        <v>10215.715842684931</v>
      </c>
      <c r="E46" s="27">
        <f t="shared" si="14"/>
        <v>3961.5588023736973</v>
      </c>
      <c r="F46" s="27">
        <f t="shared" si="14"/>
        <v>4863.5809656631391</v>
      </c>
      <c r="G46" s="27">
        <f t="shared" si="14"/>
        <v>5581.6933033326077</v>
      </c>
      <c r="H46" s="27">
        <f t="shared" si="14"/>
        <v>5863.783318499236</v>
      </c>
      <c r="I46" s="27">
        <f t="shared" si="14"/>
        <v>6159.9778344241977</v>
      </c>
      <c r="J46" s="28">
        <f>SUM(C46:I46)</f>
        <v>42086.908577564114</v>
      </c>
    </row>
    <row r="47" spans="1:10" ht="15" customHeight="1" x14ac:dyDescent="0.3">
      <c r="A47" s="7" t="s">
        <v>59</v>
      </c>
      <c r="B47" s="7"/>
      <c r="C47" s="7"/>
      <c r="D47" s="7"/>
      <c r="E47" s="7"/>
      <c r="F47" s="7"/>
      <c r="G47" s="7"/>
      <c r="H47" s="7"/>
      <c r="I47" s="7"/>
      <c r="J47" s="7"/>
    </row>
    <row r="48" spans="1:10" ht="13.5" customHeight="1" x14ac:dyDescent="0.3">
      <c r="A48" s="16"/>
      <c r="B48" s="33" t="s">
        <v>60</v>
      </c>
      <c r="C48" s="34">
        <v>0</v>
      </c>
      <c r="D48" s="34">
        <v>0</v>
      </c>
      <c r="E48" s="34">
        <v>0</v>
      </c>
      <c r="F48" s="34">
        <v>0</v>
      </c>
      <c r="G48" s="34">
        <v>0</v>
      </c>
      <c r="H48" s="34">
        <v>0</v>
      </c>
      <c r="I48" s="34">
        <v>0</v>
      </c>
      <c r="J48" s="16" t="s">
        <v>21</v>
      </c>
    </row>
    <row r="49" spans="1:10" ht="13.5" customHeight="1" x14ac:dyDescent="0.3">
      <c r="A49" s="16"/>
      <c r="B49" s="33" t="s">
        <v>61</v>
      </c>
      <c r="C49" s="34">
        <v>0</v>
      </c>
      <c r="D49" s="34">
        <v>0</v>
      </c>
      <c r="E49" s="34">
        <v>0</v>
      </c>
      <c r="F49" s="34">
        <v>0</v>
      </c>
      <c r="G49" s="34">
        <v>0</v>
      </c>
      <c r="H49" s="34">
        <v>0</v>
      </c>
      <c r="I49" s="34">
        <v>0</v>
      </c>
      <c r="J49" s="16" t="s">
        <v>21</v>
      </c>
    </row>
    <row r="50" spans="1:10" ht="13.5" customHeight="1" x14ac:dyDescent="0.3">
      <c r="A50" s="16"/>
      <c r="B50" s="33" t="s">
        <v>62</v>
      </c>
      <c r="C50" s="31">
        <v>0</v>
      </c>
      <c r="D50" s="31">
        <v>0</v>
      </c>
      <c r="E50" s="34">
        <f>Hypothèses!B29</f>
        <v>5000</v>
      </c>
      <c r="F50" s="34">
        <v>0</v>
      </c>
      <c r="G50" s="34">
        <v>0</v>
      </c>
      <c r="H50" s="34">
        <v>0</v>
      </c>
      <c r="I50" s="34">
        <v>0</v>
      </c>
      <c r="J50" s="32">
        <f>SUM(C50:I50)</f>
        <v>5000</v>
      </c>
    </row>
    <row r="51" spans="1:10" ht="13.5" customHeight="1" x14ac:dyDescent="0.3">
      <c r="A51" s="16"/>
      <c r="B51" s="45" t="s">
        <v>63</v>
      </c>
      <c r="C51" s="46">
        <f>Hypothèses!B35</f>
        <v>0</v>
      </c>
      <c r="D51" s="46">
        <f>Hypothèses!B35</f>
        <v>0</v>
      </c>
      <c r="E51" s="46">
        <f>Hypothèses!B35</f>
        <v>0</v>
      </c>
      <c r="F51" s="46">
        <f>Hypothèses!B35</f>
        <v>0</v>
      </c>
      <c r="G51" s="46">
        <f>Hypothèses!B35</f>
        <v>0</v>
      </c>
      <c r="H51" s="46">
        <f>Hypothèses!B35</f>
        <v>0</v>
      </c>
      <c r="I51" s="46">
        <f>Hypothèses!B35</f>
        <v>0</v>
      </c>
      <c r="J51" s="16" t="s">
        <v>21</v>
      </c>
    </row>
    <row r="52" spans="1:10" ht="13.5" customHeight="1" x14ac:dyDescent="0.3">
      <c r="A52" s="24"/>
      <c r="B52" s="35" t="s">
        <v>64</v>
      </c>
      <c r="C52" s="31">
        <v>0</v>
      </c>
      <c r="D52" s="31">
        <f t="shared" ref="D52:I52" si="15">C34*D51</f>
        <v>0</v>
      </c>
      <c r="E52" s="31">
        <f t="shared" si="15"/>
        <v>0</v>
      </c>
      <c r="F52" s="31">
        <f t="shared" si="15"/>
        <v>0</v>
      </c>
      <c r="G52" s="31">
        <f t="shared" si="15"/>
        <v>0</v>
      </c>
      <c r="H52" s="31">
        <f t="shared" si="15"/>
        <v>0</v>
      </c>
      <c r="I52" s="31">
        <f t="shared" si="15"/>
        <v>0</v>
      </c>
      <c r="J52" s="32">
        <f>SUM(C52:I52)</f>
        <v>0</v>
      </c>
    </row>
    <row r="53" spans="1:10" ht="15" customHeight="1" x14ac:dyDescent="0.3">
      <c r="A53" s="42" t="s">
        <v>65</v>
      </c>
      <c r="B53" s="26" t="s">
        <v>66</v>
      </c>
      <c r="C53" s="27">
        <f t="shared" ref="C53:I53" si="16">C46-C52+C50</f>
        <v>5440.5985105863019</v>
      </c>
      <c r="D53" s="27">
        <f t="shared" si="16"/>
        <v>10215.715842684931</v>
      </c>
      <c r="E53" s="27">
        <f t="shared" si="16"/>
        <v>8961.5588023736964</v>
      </c>
      <c r="F53" s="27">
        <f t="shared" si="16"/>
        <v>4863.5809656631391</v>
      </c>
      <c r="G53" s="27">
        <f t="shared" si="16"/>
        <v>5581.6933033326077</v>
      </c>
      <c r="H53" s="27">
        <f t="shared" si="16"/>
        <v>5863.783318499236</v>
      </c>
      <c r="I53" s="27">
        <f t="shared" si="16"/>
        <v>6159.9778344241977</v>
      </c>
      <c r="J53" s="28">
        <f>SUM(C53:I53)</f>
        <v>47086.908577564107</v>
      </c>
    </row>
    <row r="54" spans="1:10" ht="13.5" customHeight="1" x14ac:dyDescent="0.3">
      <c r="A54" s="42" t="s">
        <v>67</v>
      </c>
      <c r="B54" s="37" t="s">
        <v>68</v>
      </c>
      <c r="C54" s="47">
        <v>0</v>
      </c>
      <c r="D54" s="47">
        <v>0</v>
      </c>
      <c r="E54" s="47">
        <v>0</v>
      </c>
      <c r="F54" s="47">
        <v>0</v>
      </c>
      <c r="G54" s="47">
        <v>0</v>
      </c>
      <c r="H54" s="47">
        <v>0</v>
      </c>
      <c r="I54" s="47">
        <v>0</v>
      </c>
      <c r="J54" s="16" t="s">
        <v>21</v>
      </c>
    </row>
    <row r="55" spans="1:10" ht="13.5" customHeight="1" x14ac:dyDescent="0.3">
      <c r="A55" s="36"/>
      <c r="B55" s="37" t="s">
        <v>69</v>
      </c>
      <c r="C55" s="31">
        <v>0</v>
      </c>
      <c r="D55" s="31">
        <v>0</v>
      </c>
      <c r="E55" s="47">
        <f>IF((Hypothèses!B32)&gt;=1,0,Hypothèses!B29/(Hypothèses!B30-Hypothèses!B32))</f>
        <v>0</v>
      </c>
      <c r="F55" s="47">
        <f>Hypothèses!B29/MAX(1,Hypothèses!B30-Hypothèses!B32)</f>
        <v>1250</v>
      </c>
      <c r="G55" s="47">
        <f>Hypothèses!B29/MAX(1,Hypothèses!B30-Hypothèses!B32)</f>
        <v>1250</v>
      </c>
      <c r="H55" s="47">
        <f>Hypothèses!B29/MAX(1,Hypothèses!B30-Hypothèses!B32)</f>
        <v>1250</v>
      </c>
      <c r="I55" s="47">
        <f>Hypothèses!B29/MAX(1,Hypothèses!B30-Hypothèses!B32)</f>
        <v>1250</v>
      </c>
      <c r="J55" s="32">
        <f>SUM(C55:I55)</f>
        <v>5000</v>
      </c>
    </row>
    <row r="56" spans="1:10" ht="13.5" customHeight="1" x14ac:dyDescent="0.3">
      <c r="A56" s="16"/>
      <c r="B56" s="45" t="s">
        <v>70</v>
      </c>
      <c r="C56" s="34">
        <v>0</v>
      </c>
      <c r="D56" s="34">
        <v>0</v>
      </c>
      <c r="E56" s="34">
        <v>0</v>
      </c>
      <c r="F56" s="34">
        <v>0</v>
      </c>
      <c r="G56" s="34">
        <v>0</v>
      </c>
      <c r="H56" s="34">
        <v>0</v>
      </c>
      <c r="I56" s="34">
        <v>0</v>
      </c>
      <c r="J56" s="16" t="s">
        <v>21</v>
      </c>
    </row>
    <row r="57" spans="1:10" ht="13.5" customHeight="1" x14ac:dyDescent="0.3">
      <c r="A57" s="16"/>
      <c r="B57" s="45" t="s">
        <v>71</v>
      </c>
      <c r="C57" s="34">
        <v>0</v>
      </c>
      <c r="D57" s="34">
        <v>0</v>
      </c>
      <c r="E57" s="34">
        <v>0</v>
      </c>
      <c r="F57" s="34">
        <v>0</v>
      </c>
      <c r="G57" s="34">
        <v>0</v>
      </c>
      <c r="H57" s="34">
        <v>0</v>
      </c>
      <c r="I57" s="34">
        <v>0</v>
      </c>
      <c r="J57" s="16" t="s">
        <v>21</v>
      </c>
    </row>
    <row r="58" spans="1:10" ht="15" customHeight="1" x14ac:dyDescent="0.3">
      <c r="A58" s="42" t="s">
        <v>72</v>
      </c>
      <c r="B58" s="26" t="s">
        <v>73</v>
      </c>
      <c r="C58" s="27">
        <f t="shared" ref="C58:I58" si="17">C53-C54-C55-C56-C57</f>
        <v>5440.5985105863019</v>
      </c>
      <c r="D58" s="27">
        <f t="shared" si="17"/>
        <v>10215.715842684931</v>
      </c>
      <c r="E58" s="27">
        <f t="shared" si="17"/>
        <v>8961.5588023736964</v>
      </c>
      <c r="F58" s="27">
        <f t="shared" si="17"/>
        <v>3613.5809656631391</v>
      </c>
      <c r="G58" s="27">
        <f t="shared" si="17"/>
        <v>4331.6933033326077</v>
      </c>
      <c r="H58" s="27">
        <f t="shared" si="17"/>
        <v>4613.783318499236</v>
      </c>
      <c r="I58" s="27">
        <f t="shared" si="17"/>
        <v>4909.9778344241977</v>
      </c>
      <c r="J58" s="28">
        <f>SUM(C58:I58)</f>
        <v>42086.908577564107</v>
      </c>
    </row>
    <row r="59" spans="1:10" ht="13.5" customHeight="1" x14ac:dyDescent="0.3">
      <c r="A59" s="24"/>
      <c r="B59" s="35" t="s">
        <v>74</v>
      </c>
      <c r="C59" s="31">
        <v>546.71</v>
      </c>
      <c r="D59" s="31">
        <v>0</v>
      </c>
      <c r="E59" s="31">
        <v>0</v>
      </c>
      <c r="F59" s="31">
        <v>0</v>
      </c>
      <c r="G59" s="31">
        <v>0</v>
      </c>
      <c r="H59" s="31">
        <v>0</v>
      </c>
      <c r="I59" s="31">
        <v>0</v>
      </c>
      <c r="J59" s="16" t="s">
        <v>21</v>
      </c>
    </row>
    <row r="60" spans="1:10" ht="13.5" customHeight="1" x14ac:dyDescent="0.3">
      <c r="A60" s="24"/>
      <c r="B60" s="35" t="s">
        <v>75</v>
      </c>
      <c r="C60" s="31">
        <v>-3633.6819999999998</v>
      </c>
      <c r="D60" s="31">
        <v>0</v>
      </c>
      <c r="E60" s="31">
        <v>0</v>
      </c>
      <c r="F60" s="31">
        <v>0</v>
      </c>
      <c r="G60" s="31">
        <v>0</v>
      </c>
      <c r="H60" s="31">
        <v>0</v>
      </c>
      <c r="I60" s="31">
        <v>0</v>
      </c>
      <c r="J60" s="16" t="s">
        <v>21</v>
      </c>
    </row>
    <row r="61" spans="1:10" ht="15" customHeight="1" x14ac:dyDescent="0.3">
      <c r="A61" s="24"/>
      <c r="B61" s="26" t="s">
        <v>76</v>
      </c>
      <c r="C61" s="27">
        <v>-3101.52</v>
      </c>
      <c r="D61" s="27">
        <f t="shared" ref="D61:I61" si="18">C61+D58</f>
        <v>7114.1958426849305</v>
      </c>
      <c r="E61" s="27">
        <f t="shared" si="18"/>
        <v>16075.754645058627</v>
      </c>
      <c r="F61" s="27">
        <f t="shared" si="18"/>
        <v>19689.335610721766</v>
      </c>
      <c r="G61" s="27">
        <f t="shared" si="18"/>
        <v>24021.028914054375</v>
      </c>
      <c r="H61" s="27">
        <f t="shared" si="18"/>
        <v>28634.81223255361</v>
      </c>
      <c r="I61" s="27">
        <f t="shared" si="18"/>
        <v>33544.79006697781</v>
      </c>
      <c r="J61" s="16" t="s">
        <v>21</v>
      </c>
    </row>
    <row r="62" spans="1:10" ht="13.5" customHeight="1" x14ac:dyDescent="0.3">
      <c r="A62" s="24"/>
      <c r="B62" s="35" t="s">
        <v>77</v>
      </c>
      <c r="C62" s="29">
        <f t="shared" ref="C62:I62" si="19">IF(C13=0,"-",C61/C13)</f>
        <v>-7.9898554864333823E-2</v>
      </c>
      <c r="D62" s="29">
        <f t="shared" si="19"/>
        <v>0.16503754019744549</v>
      </c>
      <c r="E62" s="29">
        <f t="shared" si="19"/>
        <v>0.34530632967621333</v>
      </c>
      <c r="F62" s="29">
        <f t="shared" si="19"/>
        <v>0.39525780465969301</v>
      </c>
      <c r="G62" s="29">
        <f t="shared" si="19"/>
        <v>0.45925268001260355</v>
      </c>
      <c r="H62" s="29">
        <f t="shared" si="19"/>
        <v>0.52139292524181691</v>
      </c>
      <c r="I62" s="29">
        <f t="shared" si="19"/>
        <v>0.58171005869164694</v>
      </c>
      <c r="J62" s="16" t="s">
        <v>21</v>
      </c>
    </row>
    <row r="63" spans="1:10" ht="15" customHeight="1" x14ac:dyDescent="0.3">
      <c r="A63" s="7" t="s">
        <v>78</v>
      </c>
      <c r="B63" s="7"/>
      <c r="C63" s="7"/>
      <c r="D63" s="7"/>
      <c r="E63" s="7"/>
      <c r="F63" s="7"/>
      <c r="G63" s="7"/>
      <c r="H63" s="7"/>
      <c r="I63" s="7"/>
      <c r="J63" s="7"/>
    </row>
    <row r="64" spans="1:10" ht="13.5" customHeight="1" x14ac:dyDescent="0.3">
      <c r="A64" s="16"/>
      <c r="B64" s="35" t="s">
        <v>79</v>
      </c>
      <c r="C64" s="24" t="s">
        <v>21</v>
      </c>
      <c r="D64" s="24" t="s">
        <v>21</v>
      </c>
      <c r="E64" s="31">
        <f>E55+(-E29)</f>
        <v>375</v>
      </c>
      <c r="F64" s="31">
        <f>F55+(-F29)</f>
        <v>1625</v>
      </c>
      <c r="G64" s="31">
        <f>G55+(-G29)</f>
        <v>1625</v>
      </c>
      <c r="H64" s="31">
        <f>H55+(-H29)</f>
        <v>1625</v>
      </c>
      <c r="I64" s="31">
        <f>I55+(-I29)</f>
        <v>1625</v>
      </c>
      <c r="J64" s="32">
        <f>SUM(E64:I64)</f>
        <v>6875</v>
      </c>
    </row>
    <row r="65" spans="1:10" ht="15" customHeight="1" x14ac:dyDescent="0.3">
      <c r="A65" s="42" t="s">
        <v>80</v>
      </c>
      <c r="B65" s="17" t="s">
        <v>81</v>
      </c>
      <c r="C65" s="48" t="s">
        <v>21</v>
      </c>
      <c r="D65" s="48" t="s">
        <v>21</v>
      </c>
      <c r="E65" s="49">
        <f>IF(E64=0,"-",E40/E64)</f>
        <v>11.56607680632986</v>
      </c>
      <c r="F65" s="49">
        <f>IF(F64=0,"-",F40/F64)</f>
        <v>2.9929729019465472</v>
      </c>
      <c r="G65" s="49">
        <f>IF(G64=0,"-",G40/G64)</f>
        <v>3.4348881866662202</v>
      </c>
      <c r="H65" s="49">
        <f>IF(H64=0,"-",H40/H64)</f>
        <v>3.6084820421533759</v>
      </c>
      <c r="I65" s="49">
        <f>IF(I64=0,"-",I40/I64)</f>
        <v>3.7907555904148911</v>
      </c>
      <c r="J65" s="16" t="s">
        <v>21</v>
      </c>
    </row>
    <row r="66" spans="1:10" ht="15" customHeight="1" x14ac:dyDescent="0.3">
      <c r="A66" s="16"/>
      <c r="B66" s="17" t="s">
        <v>82</v>
      </c>
      <c r="C66" s="48" t="s">
        <v>21</v>
      </c>
      <c r="D66" s="48" t="s">
        <v>21</v>
      </c>
      <c r="E66" s="49">
        <f>IF(E64=0,"-",E35/E64)</f>
        <v>16.227093491626672</v>
      </c>
      <c r="F66" s="49">
        <f>IF(F64=0,"-",F35/F64)</f>
        <v>4.0094330790862776</v>
      </c>
      <c r="G66" s="49">
        <f>IF(G64=0,"-",G35/G64)</f>
        <v>4.2117541791944388</v>
      </c>
      <c r="H66" s="49">
        <f>IF(H64=0,"-",H35/H64)</f>
        <v>4.4241913343080075</v>
      </c>
      <c r="I66" s="49">
        <f>IF(I64=0,"-",I35/I64)</f>
        <v>4.6472503471772546</v>
      </c>
      <c r="J66" s="16" t="s">
        <v>21</v>
      </c>
    </row>
    <row r="67" spans="1:10" ht="15" customHeight="1" x14ac:dyDescent="0.3">
      <c r="A67" s="16"/>
      <c r="B67" s="17" t="s">
        <v>83</v>
      </c>
      <c r="C67" s="48" t="s">
        <v>21</v>
      </c>
      <c r="D67" s="48" t="s">
        <v>21</v>
      </c>
      <c r="E67" s="49">
        <f>IF(E64=0,"-",E22/E64)</f>
        <v>21.849838433280006</v>
      </c>
      <c r="F67" s="49">
        <f>IF(F64=0,"-",F22/F64)</f>
        <v>5.3952293362176009</v>
      </c>
      <c r="G67" s="49">
        <f>IF(G64=0,"-",G22/G64)</f>
        <v>5.6649908030284823</v>
      </c>
      <c r="H67" s="49">
        <f>IF(H64=0,"-",H22/H64)</f>
        <v>5.9482403431799078</v>
      </c>
      <c r="I67" s="49">
        <f>IF(I64=0,"-",I22/I64)</f>
        <v>6.2456523603389034</v>
      </c>
      <c r="J67" s="16" t="s">
        <v>21</v>
      </c>
    </row>
    <row r="68" spans="1:10" ht="15" customHeight="1" x14ac:dyDescent="0.3">
      <c r="A68" s="6" t="s">
        <v>84</v>
      </c>
      <c r="B68" s="6"/>
      <c r="C68" s="6"/>
      <c r="D68" s="6"/>
      <c r="E68" s="6"/>
      <c r="F68" s="6"/>
      <c r="G68" s="6"/>
      <c r="H68" s="6"/>
      <c r="I68" s="6"/>
      <c r="J68" s="6"/>
    </row>
    <row r="69" spans="1:10" ht="13.5" customHeight="1" x14ac:dyDescent="0.3">
      <c r="A69" s="16"/>
      <c r="B69" s="50" t="s">
        <v>85</v>
      </c>
      <c r="C69" s="31">
        <v>8261.58</v>
      </c>
      <c r="D69" s="51">
        <v>8261.58</v>
      </c>
      <c r="E69" s="51">
        <v>8261.58</v>
      </c>
      <c r="F69" s="51">
        <v>8261.58</v>
      </c>
      <c r="G69" s="51">
        <v>8261.58</v>
      </c>
      <c r="H69" s="51">
        <v>8261.58</v>
      </c>
      <c r="I69" s="51">
        <v>8261.58</v>
      </c>
      <c r="J69" s="16" t="s">
        <v>21</v>
      </c>
    </row>
    <row r="70" spans="1:10" ht="13.5" customHeight="1" x14ac:dyDescent="0.3">
      <c r="A70" s="16"/>
      <c r="B70" s="50" t="s">
        <v>86</v>
      </c>
      <c r="C70" s="31">
        <v>8525.0930000000008</v>
      </c>
      <c r="D70" s="51">
        <v>8525.0930000000008</v>
      </c>
      <c r="E70" s="51">
        <v>8525.0930000000008</v>
      </c>
      <c r="F70" s="51">
        <v>8525.0930000000008</v>
      </c>
      <c r="G70" s="51">
        <v>8525.0930000000008</v>
      </c>
      <c r="H70" s="51">
        <v>8525.0930000000008</v>
      </c>
      <c r="I70" s="51">
        <v>8525.0930000000008</v>
      </c>
      <c r="J70" s="16" t="s">
        <v>21</v>
      </c>
    </row>
    <row r="71" spans="1:10" ht="13.5" customHeight="1" x14ac:dyDescent="0.3">
      <c r="A71" s="16"/>
      <c r="B71" s="50" t="s">
        <v>87</v>
      </c>
      <c r="C71" s="31">
        <v>16581.239000000001</v>
      </c>
      <c r="D71" s="51">
        <v>16581.239000000001</v>
      </c>
      <c r="E71" s="51">
        <v>16581.239000000001</v>
      </c>
      <c r="F71" s="51">
        <v>16581.239000000001</v>
      </c>
      <c r="G71" s="51">
        <v>16581.239000000001</v>
      </c>
      <c r="H71" s="51">
        <v>16581.239000000001</v>
      </c>
      <c r="I71" s="51">
        <v>16581.239000000001</v>
      </c>
      <c r="J71" s="16" t="s">
        <v>21</v>
      </c>
    </row>
    <row r="72" spans="1:10" ht="13.5" customHeight="1" x14ac:dyDescent="0.3">
      <c r="A72" s="16"/>
      <c r="B72" s="50" t="s">
        <v>88</v>
      </c>
      <c r="C72" s="31">
        <v>25057.050999999999</v>
      </c>
      <c r="D72" s="51">
        <v>25057.050999999999</v>
      </c>
      <c r="E72" s="51">
        <v>25057.050999999999</v>
      </c>
      <c r="F72" s="51">
        <v>25057.050999999999</v>
      </c>
      <c r="G72" s="51">
        <v>25057.050999999999</v>
      </c>
      <c r="H72" s="51">
        <v>25057.050999999999</v>
      </c>
      <c r="I72" s="51">
        <v>25057.050999999999</v>
      </c>
      <c r="J72" s="16" t="s">
        <v>21</v>
      </c>
    </row>
    <row r="73" spans="1:10" ht="13.5" customHeight="1" x14ac:dyDescent="0.3">
      <c r="A73" s="16"/>
      <c r="B73" s="50" t="s">
        <v>89</v>
      </c>
      <c r="C73" s="52">
        <f t="shared" ref="C73:I73" si="20">IF(C22=0,"-",C69/C22)</f>
        <v>1.1810619120585057</v>
      </c>
      <c r="D73" s="53">
        <f t="shared" si="20"/>
        <v>1.0889485738146141</v>
      </c>
      <c r="E73" s="53">
        <f t="shared" si="20"/>
        <v>1.008285716495013</v>
      </c>
      <c r="F73" s="53">
        <f t="shared" si="20"/>
        <v>0.94232309952804949</v>
      </c>
      <c r="G73" s="53">
        <f t="shared" si="20"/>
        <v>0.89745057097909453</v>
      </c>
      <c r="H73" s="53">
        <f t="shared" si="20"/>
        <v>0.85471482950389943</v>
      </c>
      <c r="I73" s="53">
        <f t="shared" si="20"/>
        <v>0.81401412333704692</v>
      </c>
      <c r="J73" s="16" t="s">
        <v>21</v>
      </c>
    </row>
    <row r="74" spans="1:10" ht="13.5" customHeight="1" x14ac:dyDescent="0.3">
      <c r="A74" s="16"/>
      <c r="B74" s="50" t="s">
        <v>90</v>
      </c>
      <c r="C74" s="52">
        <f t="shared" ref="C74:I74" si="21">IF(C22=0,"-",C70/C22)</f>
        <v>1.2187332978748113</v>
      </c>
      <c r="D74" s="53">
        <f t="shared" si="21"/>
        <v>1.1236818942607771</v>
      </c>
      <c r="E74" s="53">
        <f t="shared" si="21"/>
        <v>1.0404461983896083</v>
      </c>
      <c r="F74" s="53">
        <f t="shared" si="21"/>
        <v>0.97237962466318528</v>
      </c>
      <c r="G74" s="53">
        <f t="shared" si="21"/>
        <v>0.92607583301255725</v>
      </c>
      <c r="H74" s="53">
        <f t="shared" si="21"/>
        <v>0.88197698382148293</v>
      </c>
      <c r="I74" s="53">
        <f t="shared" si="21"/>
        <v>0.83997807982998363</v>
      </c>
      <c r="J74" s="16" t="s">
        <v>21</v>
      </c>
    </row>
    <row r="75" spans="1:10" ht="13.5" customHeight="1" x14ac:dyDescent="0.3">
      <c r="A75" s="16"/>
      <c r="B75" s="50" t="s">
        <v>91</v>
      </c>
      <c r="C75" s="52">
        <f t="shared" ref="C75:I75" si="22">IF(C71=0,"-",C69/C71)</f>
        <v>0.49824865319171863</v>
      </c>
      <c r="D75" s="53">
        <f t="shared" si="22"/>
        <v>0.49824865319171863</v>
      </c>
      <c r="E75" s="53">
        <f t="shared" si="22"/>
        <v>0.49824865319171863</v>
      </c>
      <c r="F75" s="53">
        <f t="shared" si="22"/>
        <v>0.49824865319171863</v>
      </c>
      <c r="G75" s="53">
        <f t="shared" si="22"/>
        <v>0.49824865319171863</v>
      </c>
      <c r="H75" s="53">
        <f t="shared" si="22"/>
        <v>0.49824865319171863</v>
      </c>
      <c r="I75" s="53">
        <f t="shared" si="22"/>
        <v>0.49824865319171863</v>
      </c>
      <c r="J75" s="16" t="s">
        <v>21</v>
      </c>
    </row>
    <row r="76" spans="1:10" ht="13.5" customHeight="1" x14ac:dyDescent="0.3">
      <c r="A76" s="16"/>
      <c r="B76" s="50" t="s">
        <v>92</v>
      </c>
      <c r="C76" s="52">
        <f t="shared" ref="C76:I76" si="23">IF(C71=0,"-",C70/C71)</f>
        <v>0.51414089140142061</v>
      </c>
      <c r="D76" s="53">
        <f t="shared" si="23"/>
        <v>0.51414089140142061</v>
      </c>
      <c r="E76" s="53">
        <f t="shared" si="23"/>
        <v>0.51414089140142061</v>
      </c>
      <c r="F76" s="53">
        <f t="shared" si="23"/>
        <v>0.51414089140142061</v>
      </c>
      <c r="G76" s="53">
        <f t="shared" si="23"/>
        <v>0.51414089140142061</v>
      </c>
      <c r="H76" s="53">
        <f t="shared" si="23"/>
        <v>0.51414089140142061</v>
      </c>
      <c r="I76" s="53">
        <f t="shared" si="23"/>
        <v>0.51414089140142061</v>
      </c>
      <c r="J76" s="16" t="s">
        <v>21</v>
      </c>
    </row>
  </sheetData>
  <mergeCells count="15">
    <mergeCell ref="A36:J36"/>
    <mergeCell ref="A41:J41"/>
    <mergeCell ref="A47:J47"/>
    <mergeCell ref="A63:J63"/>
    <mergeCell ref="A68:J68"/>
    <mergeCell ref="A6:J6"/>
    <mergeCell ref="A7:J7"/>
    <mergeCell ref="A11:J11"/>
    <mergeCell ref="A23:J23"/>
    <mergeCell ref="A27:J27"/>
    <mergeCell ref="A1:J1"/>
    <mergeCell ref="A2:J2"/>
    <mergeCell ref="A3:J3"/>
    <mergeCell ref="A4:J4"/>
    <mergeCell ref="A5:J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2B55"/>
    <pageSetUpPr fitToPage="1"/>
  </sheetPr>
  <dimension ref="A1:J68"/>
  <sheetViews>
    <sheetView showGridLines="0" zoomScaleNormal="100" workbookViewId="0">
      <pane xSplit="2" ySplit="12" topLeftCell="C13" activePane="bottomRight" state="frozen"/>
      <selection pane="topRight" activeCell="C1" sqref="C1"/>
      <selection pane="bottomLeft" activeCell="A13" sqref="A13"/>
      <selection pane="bottomRight" activeCell="C18" sqref="C18"/>
    </sheetView>
  </sheetViews>
  <sheetFormatPr baseColWidth="10" defaultColWidth="8.6640625" defaultRowHeight="14.4" x14ac:dyDescent="0.3"/>
  <cols>
    <col min="1" max="1" width="5" customWidth="1"/>
    <col min="2" max="2" width="44" customWidth="1"/>
    <col min="3" max="9" width="13" customWidth="1"/>
    <col min="10" max="10" width="14" customWidth="1"/>
  </cols>
  <sheetData>
    <row r="1" spans="1:10" ht="27.75" customHeight="1" x14ac:dyDescent="0.3">
      <c r="A1" s="5" t="s">
        <v>93</v>
      </c>
      <c r="B1" s="5"/>
      <c r="C1" s="5"/>
      <c r="D1" s="5"/>
      <c r="E1" s="5"/>
      <c r="F1" s="5"/>
      <c r="G1" s="5"/>
      <c r="H1" s="5"/>
      <c r="I1" s="5"/>
      <c r="J1" s="5"/>
    </row>
    <row r="2" spans="1:10" ht="13.5" customHeight="1" x14ac:dyDescent="0.3">
      <c r="A2" s="4" t="s">
        <v>94</v>
      </c>
      <c r="B2" s="4"/>
      <c r="C2" s="4"/>
      <c r="D2" s="4"/>
      <c r="E2" s="4"/>
      <c r="F2" s="4"/>
      <c r="G2" s="4"/>
      <c r="H2" s="4"/>
      <c r="I2" s="4"/>
      <c r="J2" s="4"/>
    </row>
    <row r="3" spans="1:10" ht="13.5" customHeight="1" x14ac:dyDescent="0.3">
      <c r="A3" s="54"/>
      <c r="B3" s="54"/>
      <c r="C3" s="3" t="s">
        <v>95</v>
      </c>
      <c r="D3" s="3"/>
      <c r="E3" s="2" t="s">
        <v>96</v>
      </c>
      <c r="F3" s="2"/>
      <c r="G3" s="2"/>
      <c r="H3" s="2"/>
      <c r="I3" s="2"/>
      <c r="J3" s="56" t="s">
        <v>97</v>
      </c>
    </row>
    <row r="4" spans="1:10" ht="18" customHeight="1" x14ac:dyDescent="0.3">
      <c r="A4" s="54"/>
      <c r="B4" s="57" t="s">
        <v>98</v>
      </c>
      <c r="C4" s="58" t="s">
        <v>8</v>
      </c>
      <c r="D4" s="58" t="s">
        <v>9</v>
      </c>
      <c r="E4" s="59" t="s">
        <v>10</v>
      </c>
      <c r="F4" s="59" t="s">
        <v>11</v>
      </c>
      <c r="G4" s="59" t="s">
        <v>12</v>
      </c>
      <c r="H4" s="59" t="s">
        <v>13</v>
      </c>
      <c r="I4" s="59" t="s">
        <v>14</v>
      </c>
      <c r="J4" s="60" t="s">
        <v>99</v>
      </c>
    </row>
    <row r="5" spans="1:10" ht="12" customHeight="1" x14ac:dyDescent="0.3">
      <c r="A5" s="61"/>
      <c r="B5" s="61"/>
      <c r="C5" s="62" t="s">
        <v>16</v>
      </c>
      <c r="D5" s="62" t="s">
        <v>17</v>
      </c>
      <c r="E5" s="62" t="s">
        <v>18</v>
      </c>
      <c r="F5" s="62" t="s">
        <v>18</v>
      </c>
      <c r="G5" s="62" t="s">
        <v>18</v>
      </c>
      <c r="H5" s="62" t="s">
        <v>18</v>
      </c>
      <c r="I5" s="62" t="s">
        <v>18</v>
      </c>
      <c r="J5" s="62"/>
    </row>
    <row r="6" spans="1:10" ht="15.75" customHeight="1" x14ac:dyDescent="0.3">
      <c r="A6" s="1" t="s">
        <v>100</v>
      </c>
      <c r="B6" s="1"/>
      <c r="C6" s="1"/>
      <c r="D6" s="1"/>
      <c r="E6" s="1"/>
      <c r="F6" s="1"/>
      <c r="G6" s="1"/>
      <c r="H6" s="1"/>
      <c r="I6" s="1"/>
      <c r="J6" s="1"/>
    </row>
    <row r="7" spans="1:10" ht="16.5" customHeight="1" x14ac:dyDescent="0.3">
      <c r="A7" s="63"/>
      <c r="B7" s="64" t="s">
        <v>19</v>
      </c>
      <c r="C7" s="65">
        <f>'Modèle Amélioré'!C13</f>
        <v>38818.224000000002</v>
      </c>
      <c r="D7" s="65">
        <f>'Modèle Amélioré'!D13</f>
        <v>43106.531000000003</v>
      </c>
      <c r="E7" s="66">
        <f>'Modèle Amélioré'!E13</f>
        <v>46555.05348000001</v>
      </c>
      <c r="F7" s="66">
        <f>'Modèle Amélioré'!F13</f>
        <v>49813.907223600014</v>
      </c>
      <c r="G7" s="66">
        <f>'Modèle Amélioré'!G13</f>
        <v>52304.602584780019</v>
      </c>
      <c r="H7" s="66">
        <f>'Modèle Amélioré'!H13</f>
        <v>54919.832714019023</v>
      </c>
      <c r="I7" s="66">
        <f>'Modèle Amélioré'!I13</f>
        <v>57665.82434971998</v>
      </c>
      <c r="J7" s="67" t="s">
        <v>21</v>
      </c>
    </row>
    <row r="8" spans="1:10" ht="12.75" customHeight="1" x14ac:dyDescent="0.3">
      <c r="A8" s="68"/>
      <c r="B8" s="69" t="s">
        <v>101</v>
      </c>
      <c r="C8" s="70" t="str">
        <f>'Modèle Amélioré'!C12</f>
        <v>-</v>
      </c>
      <c r="D8" s="70">
        <f>'Modèle Amélioré'!D12</f>
        <v>0.11047148885533765</v>
      </c>
      <c r="E8" s="70">
        <f>'Modèle Amélioré'!E12</f>
        <v>0.08</v>
      </c>
      <c r="F8" s="70">
        <f>'Modèle Amélioré'!F12</f>
        <v>7.0000000000000007E-2</v>
      </c>
      <c r="G8" s="70">
        <f>'Modèle Amélioré'!G12</f>
        <v>0.05</v>
      </c>
      <c r="H8" s="70">
        <f>'Modèle Amélioré'!H12</f>
        <v>0.05</v>
      </c>
      <c r="I8" s="70">
        <f>'Modèle Amélioré'!I12</f>
        <v>0.05</v>
      </c>
      <c r="J8" s="71" t="s">
        <v>21</v>
      </c>
    </row>
    <row r="9" spans="1:10" ht="13.5" customHeight="1" x14ac:dyDescent="0.3">
      <c r="A9" s="72"/>
      <c r="B9" s="73" t="s">
        <v>102</v>
      </c>
      <c r="C9" s="74">
        <f>'Modèle Amélioré'!C14</f>
        <v>0.62580000000000002</v>
      </c>
      <c r="D9" s="74">
        <f>'Modèle Amélioré'!D14</f>
        <v>0.63</v>
      </c>
      <c r="E9" s="75">
        <f>'Modèle Amélioré'!E14</f>
        <v>0.63</v>
      </c>
      <c r="F9" s="75">
        <f>'Modèle Amélioré'!F14</f>
        <v>0.63</v>
      </c>
      <c r="G9" s="75">
        <f>'Modèle Amélioré'!G14</f>
        <v>0.63</v>
      </c>
      <c r="H9" s="75">
        <f>'Modèle Amélioré'!H14</f>
        <v>0.63</v>
      </c>
      <c r="I9" s="75">
        <f>'Modèle Amélioré'!I14</f>
        <v>0.63</v>
      </c>
      <c r="J9" s="76" t="s">
        <v>21</v>
      </c>
    </row>
    <row r="10" spans="1:10" ht="13.5" customHeight="1" x14ac:dyDescent="0.3">
      <c r="A10" s="72"/>
      <c r="B10" s="77" t="s">
        <v>103</v>
      </c>
      <c r="C10" s="78">
        <f>'Modèle Amélioré'!C15</f>
        <v>24292.444579200001</v>
      </c>
      <c r="D10" s="78">
        <f>'Modèle Amélioré'!D15</f>
        <v>27157.114530000003</v>
      </c>
      <c r="E10" s="79">
        <f>'Modèle Amélioré'!E15</f>
        <v>29329.683692400005</v>
      </c>
      <c r="F10" s="79">
        <f>'Modèle Amélioré'!F15</f>
        <v>31382.76155086801</v>
      </c>
      <c r="G10" s="79">
        <f>'Modèle Amélioré'!G15</f>
        <v>32951.899628411411</v>
      </c>
      <c r="H10" s="79">
        <f>'Modèle Amélioré'!H15</f>
        <v>34599.494609831985</v>
      </c>
      <c r="I10" s="79">
        <f>'Modèle Amélioré'!I15</f>
        <v>36329.469340323587</v>
      </c>
      <c r="J10" s="80">
        <f>SUM(E10:I10)</f>
        <v>164593.308821835</v>
      </c>
    </row>
    <row r="11" spans="1:10" ht="13.5" customHeight="1" x14ac:dyDescent="0.3">
      <c r="A11" s="72"/>
      <c r="B11" s="73" t="s">
        <v>104</v>
      </c>
      <c r="C11" s="74">
        <f>'Modèle Amélioré'!C16</f>
        <v>0.1215</v>
      </c>
      <c r="D11" s="74">
        <f>'Modèle Amélioré'!D16</f>
        <v>0.1215</v>
      </c>
      <c r="E11" s="75">
        <f>'Modèle Amélioré'!E16</f>
        <v>0.1215</v>
      </c>
      <c r="F11" s="75">
        <f>'Modèle Amélioré'!F16</f>
        <v>0.1215</v>
      </c>
      <c r="G11" s="75">
        <f>'Modèle Amélioré'!G16</f>
        <v>0.1215</v>
      </c>
      <c r="H11" s="75">
        <f>'Modèle Amélioré'!H16</f>
        <v>0.1215</v>
      </c>
      <c r="I11" s="75">
        <f>'Modèle Amélioré'!I16</f>
        <v>0.1215</v>
      </c>
      <c r="J11" s="76" t="s">
        <v>21</v>
      </c>
    </row>
    <row r="12" spans="1:10" ht="13.5" customHeight="1" x14ac:dyDescent="0.3">
      <c r="A12" s="72"/>
      <c r="B12" s="77" t="s">
        <v>105</v>
      </c>
      <c r="C12" s="78">
        <f>'Modèle Amélioré'!C17</f>
        <v>4716.4142160000001</v>
      </c>
      <c r="D12" s="78">
        <f>'Modèle Amélioré'!D17</f>
        <v>5237.4435165000004</v>
      </c>
      <c r="E12" s="79">
        <f>'Modèle Amélioré'!E17</f>
        <v>5656.4389978200006</v>
      </c>
      <c r="F12" s="79">
        <f>'Modèle Amélioré'!F17</f>
        <v>6052.3897276674015</v>
      </c>
      <c r="G12" s="79">
        <f>'Modèle Amélioré'!G17</f>
        <v>6355.0092140507722</v>
      </c>
      <c r="H12" s="79">
        <f>'Modèle Amélioré'!H17</f>
        <v>6672.7596747533107</v>
      </c>
      <c r="I12" s="79">
        <f>'Modèle Amélioré'!I17</f>
        <v>7006.3976584909778</v>
      </c>
      <c r="J12" s="80">
        <f>SUM(E12:I12)</f>
        <v>31742.995272782464</v>
      </c>
    </row>
    <row r="13" spans="1:10" ht="13.5" customHeight="1" x14ac:dyDescent="0.3">
      <c r="A13" s="72"/>
      <c r="B13" s="73" t="s">
        <v>106</v>
      </c>
      <c r="C13" s="74">
        <f>'Modèle Amélioré'!C18</f>
        <v>7.2499999999999995E-2</v>
      </c>
      <c r="D13" s="74">
        <f>'Modèle Amélioré'!D18</f>
        <v>7.2499999999999995E-2</v>
      </c>
      <c r="E13" s="75">
        <f>'Modèle Amélioré'!E18</f>
        <v>7.2499999999999995E-2</v>
      </c>
      <c r="F13" s="75">
        <f>'Modèle Amélioré'!F18</f>
        <v>7.2499999999999995E-2</v>
      </c>
      <c r="G13" s="75">
        <f>'Modèle Amélioré'!G18</f>
        <v>7.2499999999999995E-2</v>
      </c>
      <c r="H13" s="75">
        <f>'Modèle Amélioré'!H18</f>
        <v>7.2499999999999995E-2</v>
      </c>
      <c r="I13" s="75">
        <f>'Modèle Amélioré'!I18</f>
        <v>7.2499999999999995E-2</v>
      </c>
      <c r="J13" s="76" t="s">
        <v>21</v>
      </c>
    </row>
    <row r="14" spans="1:10" ht="13.5" customHeight="1" x14ac:dyDescent="0.3">
      <c r="A14" s="72"/>
      <c r="B14" s="77" t="s">
        <v>107</v>
      </c>
      <c r="C14" s="78">
        <f>'Modèle Amélioré'!C19</f>
        <v>2814.3212399999998</v>
      </c>
      <c r="D14" s="78">
        <f>'Modèle Amélioré'!D19</f>
        <v>3125.2234975000001</v>
      </c>
      <c r="E14" s="79">
        <f>'Modèle Amélioré'!E19</f>
        <v>3375.2413773000003</v>
      </c>
      <c r="F14" s="79">
        <f>'Modèle Amélioré'!F19</f>
        <v>3611.5082737110006</v>
      </c>
      <c r="G14" s="79">
        <f>'Modèle Amélioré'!G19</f>
        <v>3792.0836873965513</v>
      </c>
      <c r="H14" s="79">
        <f>'Modèle Amélioré'!H19</f>
        <v>3981.687871766379</v>
      </c>
      <c r="I14" s="79">
        <f>'Modèle Amélioré'!I19</f>
        <v>4180.772265354698</v>
      </c>
      <c r="J14" s="80">
        <f>SUM(E14:I14)</f>
        <v>18941.29347552863</v>
      </c>
    </row>
    <row r="15" spans="1:10" ht="16.5" customHeight="1" x14ac:dyDescent="0.3">
      <c r="A15" s="63"/>
      <c r="B15" s="64" t="s">
        <v>31</v>
      </c>
      <c r="C15" s="65">
        <f>'Modèle Amélioré'!C22</f>
        <v>6995.043964800001</v>
      </c>
      <c r="D15" s="65">
        <f>'Modèle Amélioré'!D22</f>
        <v>7586.7494560000005</v>
      </c>
      <c r="E15" s="66">
        <f>'Modèle Amélioré'!E22</f>
        <v>8193.6894124800019</v>
      </c>
      <c r="F15" s="66">
        <f>'Modèle Amélioré'!F22</f>
        <v>8767.2476713536016</v>
      </c>
      <c r="G15" s="66">
        <f>'Modèle Amélioré'!G22</f>
        <v>9205.6100549212842</v>
      </c>
      <c r="H15" s="66">
        <f>'Modèle Amélioré'!H22</f>
        <v>9665.8905576673496</v>
      </c>
      <c r="I15" s="66">
        <f>'Modèle Amélioré'!I22</f>
        <v>10149.185085550718</v>
      </c>
      <c r="J15" s="81">
        <f>SUM(E15:I15)</f>
        <v>45981.622781972954</v>
      </c>
    </row>
    <row r="16" spans="1:10" ht="12.75" customHeight="1" x14ac:dyDescent="0.3">
      <c r="A16" s="68"/>
      <c r="B16" s="69" t="s">
        <v>108</v>
      </c>
      <c r="C16" s="70">
        <f>'Modèle Amélioré'!C21</f>
        <v>0.18020000000000003</v>
      </c>
      <c r="D16" s="70">
        <f>'Modèle Amélioré'!D21</f>
        <v>0.17599999999999999</v>
      </c>
      <c r="E16" s="70">
        <f>'Modèle Amélioré'!E21</f>
        <v>0.17600000000000002</v>
      </c>
      <c r="F16" s="70">
        <f>'Modèle Amélioré'!F21</f>
        <v>0.17599999999999999</v>
      </c>
      <c r="G16" s="70">
        <f>'Modèle Amélioré'!G21</f>
        <v>0.17600000000000002</v>
      </c>
      <c r="H16" s="70">
        <f>'Modèle Amélioré'!H21</f>
        <v>0.17600000000000002</v>
      </c>
      <c r="I16" s="70">
        <f>'Modèle Amélioré'!I21</f>
        <v>0.17600000000000002</v>
      </c>
      <c r="J16" s="71" t="s">
        <v>21</v>
      </c>
    </row>
    <row r="17" spans="1:10" ht="13.5" customHeight="1" x14ac:dyDescent="0.3">
      <c r="A17" s="72"/>
      <c r="B17" s="77" t="s">
        <v>109</v>
      </c>
      <c r="C17" s="78">
        <f>'Modèle Amélioré'!C26</f>
        <v>2368</v>
      </c>
      <c r="D17" s="78">
        <f>'Modèle Amélioré'!D26</f>
        <v>2368</v>
      </c>
      <c r="E17" s="79">
        <f>'Modèle Amélioré'!E26</f>
        <v>2405.5720000000001</v>
      </c>
      <c r="F17" s="79">
        <f>'Modèle Amélioré'!F26</f>
        <v>2405.5720000000001</v>
      </c>
      <c r="G17" s="79">
        <f>'Modèle Amélioré'!G26</f>
        <v>2405.5720000000001</v>
      </c>
      <c r="H17" s="79">
        <f>'Modèle Amélioré'!H26</f>
        <v>2405.5720000000001</v>
      </c>
      <c r="I17" s="79">
        <f>'Modèle Amélioré'!I26</f>
        <v>2405.5720000000001</v>
      </c>
      <c r="J17" s="80">
        <f>SUM(E17:I17)</f>
        <v>12027.86</v>
      </c>
    </row>
    <row r="18" spans="1:10" ht="13.5" customHeight="1" x14ac:dyDescent="0.3">
      <c r="A18" s="72"/>
      <c r="B18" s="77" t="s">
        <v>110</v>
      </c>
      <c r="C18" s="78">
        <f>'Modèle Amélioré'!C31</f>
        <v>-507</v>
      </c>
      <c r="D18" s="78">
        <f>'Modèle Amélioré'!D31</f>
        <v>-507</v>
      </c>
      <c r="E18" s="79">
        <f>'Modèle Amélioré'!E31</f>
        <v>-1501.6185</v>
      </c>
      <c r="F18" s="79">
        <f>'Modèle Amélioré'!F31</f>
        <v>-1407.8685</v>
      </c>
      <c r="G18" s="79">
        <f>'Modèle Amélioré'!G31</f>
        <v>-1314.1185</v>
      </c>
      <c r="H18" s="79">
        <f>'Modèle Amélioré'!H31</f>
        <v>-1220.3685</v>
      </c>
      <c r="I18" s="79">
        <f>'Modèle Amélioré'!I31</f>
        <v>-1126.6185</v>
      </c>
      <c r="J18" s="80">
        <f>SUM(E18:I18)</f>
        <v>-6570.5925000000007</v>
      </c>
    </row>
    <row r="19" spans="1:10" ht="13.5" customHeight="1" x14ac:dyDescent="0.3">
      <c r="A19" s="72"/>
      <c r="B19" s="82" t="s">
        <v>41</v>
      </c>
      <c r="C19" s="83">
        <f>'Modèle Amélioré'!C33</f>
        <v>4120.043964800001</v>
      </c>
      <c r="D19" s="83">
        <f>'Modèle Amélioré'!D33</f>
        <v>4711.7494560000005</v>
      </c>
      <c r="E19" s="83">
        <f>'Modèle Amélioré'!E33</f>
        <v>4286.4989124800013</v>
      </c>
      <c r="F19" s="83">
        <f>'Modèle Amélioré'!F33</f>
        <v>4953.807171353601</v>
      </c>
      <c r="G19" s="83">
        <f>'Modèle Amélioré'!G33</f>
        <v>5485.9195549212836</v>
      </c>
      <c r="H19" s="83">
        <f>'Modèle Amélioré'!H33</f>
        <v>6039.950057667349</v>
      </c>
      <c r="I19" s="83">
        <f>'Modèle Amélioré'!I33</f>
        <v>6616.9945855507176</v>
      </c>
      <c r="J19" s="84">
        <f>SUM(E19:I19)</f>
        <v>27383.170281972954</v>
      </c>
    </row>
    <row r="20" spans="1:10" ht="13.5" customHeight="1" x14ac:dyDescent="0.3">
      <c r="A20" s="72"/>
      <c r="B20" s="77" t="s">
        <v>111</v>
      </c>
      <c r="C20" s="78">
        <f>'Modèle Amélioré'!C34</f>
        <v>1030.0109912000003</v>
      </c>
      <c r="D20" s="78">
        <f>'Modèle Amélioré'!D34</f>
        <v>1177.9373640000001</v>
      </c>
      <c r="E20" s="79">
        <f>'Modèle Amélioré'!E34</f>
        <v>1071.6247281200003</v>
      </c>
      <c r="F20" s="79">
        <f>'Modèle Amélioré'!F34</f>
        <v>1238.4517928384003</v>
      </c>
      <c r="G20" s="79">
        <f>'Modèle Amélioré'!G34</f>
        <v>1371.4798887303209</v>
      </c>
      <c r="H20" s="79">
        <f>'Modèle Amélioré'!H34</f>
        <v>1509.9875144168373</v>
      </c>
      <c r="I20" s="79">
        <f>'Modèle Amélioré'!I34</f>
        <v>1654.2486463876794</v>
      </c>
      <c r="J20" s="80">
        <f>SUM(E20:I20)</f>
        <v>6845.7925704932386</v>
      </c>
    </row>
    <row r="21" spans="1:10" ht="16.5" customHeight="1" x14ac:dyDescent="0.3">
      <c r="A21" s="63"/>
      <c r="B21" s="64" t="s">
        <v>43</v>
      </c>
      <c r="C21" s="65">
        <f>'Modèle Amélioré'!C35</f>
        <v>3090.0329736000008</v>
      </c>
      <c r="D21" s="65">
        <f>'Modèle Amélioré'!D35</f>
        <v>3533.8120920000001</v>
      </c>
      <c r="E21" s="66">
        <f>'Modèle Amélioré'!E35</f>
        <v>3214.874184360001</v>
      </c>
      <c r="F21" s="66">
        <f>'Modèle Amélioré'!F35</f>
        <v>3715.3553785152008</v>
      </c>
      <c r="G21" s="66">
        <f>'Modèle Amélioré'!G35</f>
        <v>4114.4396661909632</v>
      </c>
      <c r="H21" s="66">
        <f>'Modèle Amélioré'!H35</f>
        <v>4529.9625432505118</v>
      </c>
      <c r="I21" s="66">
        <f>'Modèle Amélioré'!I35</f>
        <v>4962.7459391630382</v>
      </c>
      <c r="J21" s="81">
        <f>SUM(E21:I21)</f>
        <v>20537.377711479712</v>
      </c>
    </row>
    <row r="22" spans="1:10" ht="12.75" customHeight="1" x14ac:dyDescent="0.3">
      <c r="A22" s="68"/>
      <c r="B22" s="69" t="s">
        <v>112</v>
      </c>
      <c r="C22" s="70">
        <f>'Modèle Amélioré'!C59</f>
        <v>-7.9898554864333823E-2</v>
      </c>
      <c r="D22" s="70">
        <f>'Modèle Amélioré'!D59</f>
        <v>3.6457754062803868E-2</v>
      </c>
      <c r="E22" s="70">
        <f>'Modèle Amélioré'!E59</f>
        <v>0.17461032575362584</v>
      </c>
      <c r="F22" s="70">
        <f>'Modèle Amélioré'!F59</f>
        <v>0.20972665519668091</v>
      </c>
      <c r="G22" s="70">
        <f>'Modèle Amélioré'!G59</f>
        <v>0.26092904635867276</v>
      </c>
      <c r="H22" s="70">
        <f>'Modèle Amélioré'!H59</f>
        <v>0.31490315358700322</v>
      </c>
      <c r="I22" s="70">
        <f>'Modèle Amélioré'!I59</f>
        <v>0.37112664592721417</v>
      </c>
      <c r="J22" s="71" t="s">
        <v>21</v>
      </c>
    </row>
    <row r="23" spans="1:10" ht="16.5" customHeight="1" x14ac:dyDescent="0.3">
      <c r="A23" s="63"/>
      <c r="B23" s="64" t="s">
        <v>44</v>
      </c>
      <c r="C23" s="65">
        <f>'Modèle Amélioré'!C36</f>
        <v>5458.0329736000003</v>
      </c>
      <c r="D23" s="65">
        <f>'Modèle Amélioré'!D36</f>
        <v>5901.8120920000001</v>
      </c>
      <c r="E23" s="66">
        <f>'Modèle Amélioré'!E36</f>
        <v>5620.4461843600011</v>
      </c>
      <c r="F23" s="66">
        <f>'Modèle Amélioré'!F36</f>
        <v>6120.9273785152009</v>
      </c>
      <c r="G23" s="66">
        <f>'Modèle Amélioré'!G36</f>
        <v>6520.0116661909633</v>
      </c>
      <c r="H23" s="66">
        <f>'Modèle Amélioré'!H36</f>
        <v>6935.5345432505119</v>
      </c>
      <c r="I23" s="66">
        <f>'Modèle Amélioré'!I36</f>
        <v>7368.3179391630383</v>
      </c>
      <c r="J23" s="81">
        <f>SUM(E23:I23)</f>
        <v>32565.23771147972</v>
      </c>
    </row>
    <row r="25" spans="1:10" ht="15" customHeight="1" x14ac:dyDescent="0.3">
      <c r="A25" s="214" t="s">
        <v>113</v>
      </c>
      <c r="B25" s="214"/>
      <c r="C25" s="214"/>
      <c r="D25" s="214"/>
      <c r="E25" s="214"/>
      <c r="F25" s="214"/>
      <c r="G25" s="214"/>
      <c r="H25" s="214"/>
      <c r="I25" s="214"/>
      <c r="J25" s="214"/>
    </row>
    <row r="26" spans="1:10" ht="13.5" customHeight="1" x14ac:dyDescent="0.3">
      <c r="A26" s="72"/>
      <c r="B26" s="77" t="s">
        <v>114</v>
      </c>
      <c r="C26" s="85" t="str">
        <f>'Modèle Amélioré'!C38</f>
        <v>181</v>
      </c>
      <c r="D26" s="85" t="str">
        <f>'Modèle Amélioré'!D38</f>
        <v>153</v>
      </c>
      <c r="E26" s="86">
        <f>'Modèle Amélioré'!E38</f>
        <v>175</v>
      </c>
      <c r="F26" s="86">
        <f>'Modèle Amélioré'!F38</f>
        <v>175</v>
      </c>
      <c r="G26" s="86">
        <f>'Modèle Amélioré'!G38</f>
        <v>175</v>
      </c>
      <c r="H26" s="86">
        <f>'Modèle Amélioré'!H38</f>
        <v>175</v>
      </c>
      <c r="I26" s="86">
        <f>'Modèle Amélioré'!I38</f>
        <v>175</v>
      </c>
      <c r="J26" s="76" t="s">
        <v>21</v>
      </c>
    </row>
    <row r="27" spans="1:10" ht="13.5" customHeight="1" x14ac:dyDescent="0.3">
      <c r="A27" s="72"/>
      <c r="B27" s="77" t="s">
        <v>115</v>
      </c>
      <c r="C27" s="85" t="str">
        <f>'Modèle Amélioré'!C39</f>
        <v>137</v>
      </c>
      <c r="D27" s="85" t="str">
        <f>'Modèle Amélioré'!D39</f>
        <v>177</v>
      </c>
      <c r="E27" s="86">
        <f>'Modèle Amélioré'!E39</f>
        <v>140</v>
      </c>
      <c r="F27" s="86">
        <f>'Modèle Amélioré'!F39</f>
        <v>140</v>
      </c>
      <c r="G27" s="86">
        <f>'Modèle Amélioré'!G39</f>
        <v>140</v>
      </c>
      <c r="H27" s="86">
        <f>'Modèle Amélioré'!H39</f>
        <v>140</v>
      </c>
      <c r="I27" s="86">
        <f>'Modèle Amélioré'!I39</f>
        <v>140</v>
      </c>
      <c r="J27" s="76" t="s">
        <v>21</v>
      </c>
    </row>
    <row r="28" spans="1:10" ht="13.5" customHeight="1" x14ac:dyDescent="0.3">
      <c r="A28" s="72"/>
      <c r="B28" s="77" t="s">
        <v>116</v>
      </c>
      <c r="C28" s="85" t="str">
        <f>'Modèle Amélioré'!C40</f>
        <v>133</v>
      </c>
      <c r="D28" s="85" t="str">
        <f>'Modèle Amélioré'!D40</f>
        <v>153</v>
      </c>
      <c r="E28" s="86">
        <f>'Modèle Amélioré'!E40</f>
        <v>130</v>
      </c>
      <c r="F28" s="86">
        <f>'Modèle Amélioré'!F40</f>
        <v>130</v>
      </c>
      <c r="G28" s="86">
        <f>'Modèle Amélioré'!G40</f>
        <v>130</v>
      </c>
      <c r="H28" s="86">
        <f>'Modèle Amélioré'!H40</f>
        <v>130</v>
      </c>
      <c r="I28" s="86">
        <f>'Modèle Amélioré'!I40</f>
        <v>130</v>
      </c>
      <c r="J28" s="76" t="s">
        <v>21</v>
      </c>
    </row>
    <row r="29" spans="1:10" ht="13.5" customHeight="1" x14ac:dyDescent="0.3">
      <c r="A29" s="72"/>
      <c r="B29" s="82" t="s">
        <v>117</v>
      </c>
      <c r="C29" s="87">
        <f>'Modèle Amélioré'!C41</f>
        <v>185</v>
      </c>
      <c r="D29" s="87">
        <f>'Modèle Amélioré'!D41</f>
        <v>177</v>
      </c>
      <c r="E29" s="87">
        <f>'Modèle Amélioré'!E41</f>
        <v>185</v>
      </c>
      <c r="F29" s="87">
        <f>'Modèle Amélioré'!F41</f>
        <v>185</v>
      </c>
      <c r="G29" s="87">
        <f>'Modèle Amélioré'!G41</f>
        <v>185</v>
      </c>
      <c r="H29" s="87">
        <f>'Modèle Amélioré'!H41</f>
        <v>185</v>
      </c>
      <c r="I29" s="87">
        <f>'Modèle Amélioré'!I41</f>
        <v>185</v>
      </c>
      <c r="J29" s="76" t="s">
        <v>21</v>
      </c>
    </row>
    <row r="30" spans="1:10" ht="13.5" customHeight="1" x14ac:dyDescent="0.3">
      <c r="A30" s="72"/>
      <c r="B30" s="82" t="s">
        <v>118</v>
      </c>
      <c r="C30" s="83">
        <f>'Modèle Amélioré'!C42</f>
        <v>19674.990246575344</v>
      </c>
      <c r="D30" s="83">
        <f>'Modèle Amélioré'!D42</f>
        <v>20903.715032876713</v>
      </c>
      <c r="E30" s="83">
        <f>'Modèle Amélioré'!E42</f>
        <v>23596.396969315072</v>
      </c>
      <c r="F30" s="83">
        <f>'Modèle Amélioré'!F42</f>
        <v>25248.144757167134</v>
      </c>
      <c r="G30" s="83">
        <f>'Modèle Amélioré'!G42</f>
        <v>26510.551995025489</v>
      </c>
      <c r="H30" s="83">
        <f>'Modèle Amélioré'!H42</f>
        <v>27836.079594776766</v>
      </c>
      <c r="I30" s="83">
        <f>'Modèle Amélioré'!I42</f>
        <v>29227.883574515607</v>
      </c>
      <c r="J30" s="76" t="s">
        <v>21</v>
      </c>
    </row>
    <row r="31" spans="1:10" ht="13.5" customHeight="1" x14ac:dyDescent="0.3">
      <c r="A31" s="72"/>
      <c r="B31" s="77" t="s">
        <v>119</v>
      </c>
      <c r="C31" s="78">
        <f>'Modèle Amélioré'!C43</f>
        <v>-6469.9947534246567</v>
      </c>
      <c r="D31" s="78">
        <f>'Modèle Amélioré'!D43</f>
        <v>1228.724786301369</v>
      </c>
      <c r="E31" s="79">
        <f>'Modèle Amélioré'!E43</f>
        <v>2692.6819364383591</v>
      </c>
      <c r="F31" s="79">
        <f>'Modèle Amélioré'!F43</f>
        <v>1651.7477878520622</v>
      </c>
      <c r="G31" s="79">
        <f>'Modèle Amélioré'!G43</f>
        <v>1262.4072378583551</v>
      </c>
      <c r="H31" s="79">
        <f>'Modèle Amélioré'!H43</f>
        <v>1325.5275997512763</v>
      </c>
      <c r="I31" s="79">
        <f>'Modèle Amélioré'!I43</f>
        <v>1391.803979738841</v>
      </c>
      <c r="J31" s="80">
        <f>SUM(E31:I31)</f>
        <v>8324.1685416388937</v>
      </c>
    </row>
    <row r="32" spans="1:10" ht="16.5" customHeight="1" x14ac:dyDescent="0.3">
      <c r="A32" s="63" t="s">
        <v>46</v>
      </c>
      <c r="B32" s="64" t="s">
        <v>120</v>
      </c>
      <c r="C32" s="65">
        <f>'Modèle Amélioré'!C44</f>
        <v>11928.027727024657</v>
      </c>
      <c r="D32" s="65">
        <f>'Modèle Amélioré'!D44</f>
        <v>4673.0873056986311</v>
      </c>
      <c r="E32" s="66">
        <f>'Modèle Amélioré'!E44</f>
        <v>2927.764247921642</v>
      </c>
      <c r="F32" s="66">
        <f>'Modèle Amélioré'!F44</f>
        <v>4469.1795906631387</v>
      </c>
      <c r="G32" s="66">
        <f>'Modèle Amélioré'!G44</f>
        <v>5257.6044283326082</v>
      </c>
      <c r="H32" s="66">
        <f>'Modèle Amélioré'!H44</f>
        <v>5610.0069434992356</v>
      </c>
      <c r="I32" s="66">
        <f>'Modèle Amélioré'!I44</f>
        <v>5976.5139594241973</v>
      </c>
      <c r="J32" s="81">
        <f>SUM(E32:I32)</f>
        <v>24241.069169840819</v>
      </c>
    </row>
    <row r="34" spans="1:10" ht="15" customHeight="1" x14ac:dyDescent="0.3">
      <c r="A34" s="214" t="s">
        <v>121</v>
      </c>
      <c r="B34" s="214"/>
      <c r="C34" s="214"/>
      <c r="D34" s="214"/>
      <c r="E34" s="214"/>
      <c r="F34" s="214"/>
      <c r="G34" s="214"/>
      <c r="H34" s="214"/>
      <c r="I34" s="214"/>
      <c r="J34" s="214"/>
    </row>
    <row r="35" spans="1:10" ht="13.5" customHeight="1" x14ac:dyDescent="0.3">
      <c r="A35" s="72"/>
      <c r="B35" s="77" t="s">
        <v>122</v>
      </c>
      <c r="C35" s="78" t="str">
        <f>'Modèle Amélioré'!C46</f>
        <v>0</v>
      </c>
      <c r="D35" s="78" t="str">
        <f>'Modèle Amélioré'!D46</f>
        <v>0</v>
      </c>
      <c r="E35" s="79" t="str">
        <f>'Modèle Amélioré'!E46</f>
        <v>0</v>
      </c>
      <c r="F35" s="79" t="str">
        <f>'Modèle Amélioré'!F46</f>
        <v>0</v>
      </c>
      <c r="G35" s="79" t="str">
        <f>'Modèle Amélioré'!G46</f>
        <v>0</v>
      </c>
      <c r="H35" s="79" t="str">
        <f>'Modèle Amélioré'!H46</f>
        <v>0</v>
      </c>
      <c r="I35" s="79" t="str">
        <f>'Modèle Amélioré'!I46</f>
        <v>0</v>
      </c>
      <c r="J35" s="80">
        <f>SUM(E35:I35)</f>
        <v>0</v>
      </c>
    </row>
    <row r="36" spans="1:10" ht="13.5" customHeight="1" x14ac:dyDescent="0.3">
      <c r="A36" s="72"/>
      <c r="B36" s="77" t="s">
        <v>123</v>
      </c>
      <c r="C36" s="78" t="str">
        <f>'Modèle Amélioré'!C47</f>
        <v>0</v>
      </c>
      <c r="D36" s="78" t="str">
        <f>'Modèle Amélioré'!D47</f>
        <v>0</v>
      </c>
      <c r="E36" s="79">
        <f>'Modèle Amélioré'!E47</f>
        <v>375.72</v>
      </c>
      <c r="F36" s="79" t="str">
        <f>'Modèle Amélioré'!F47</f>
        <v>0</v>
      </c>
      <c r="G36" s="79" t="str">
        <f>'Modèle Amélioré'!G47</f>
        <v>0</v>
      </c>
      <c r="H36" s="79" t="str">
        <f>'Modèle Amélioré'!H47</f>
        <v>0</v>
      </c>
      <c r="I36" s="79" t="str">
        <f>'Modèle Amélioré'!I47</f>
        <v>0</v>
      </c>
      <c r="J36" s="80">
        <f>SUM(E36:I36)</f>
        <v>375.72</v>
      </c>
    </row>
    <row r="37" spans="1:10" ht="16.5" customHeight="1" x14ac:dyDescent="0.3">
      <c r="A37" s="63" t="s">
        <v>57</v>
      </c>
      <c r="B37" s="64" t="s">
        <v>58</v>
      </c>
      <c r="C37" s="65">
        <f>'Modèle Amélioré'!C49</f>
        <v>11928.027727024657</v>
      </c>
      <c r="D37" s="65">
        <f>'Modèle Amélioré'!D49</f>
        <v>4673.0873056986311</v>
      </c>
      <c r="E37" s="66">
        <f>'Modèle Amélioré'!E49</f>
        <v>2552.0442479216417</v>
      </c>
      <c r="F37" s="66">
        <f>'Modèle Amélioré'!F49</f>
        <v>4469.1795906631387</v>
      </c>
      <c r="G37" s="66">
        <f>'Modèle Amélioré'!G49</f>
        <v>5257.6044283326082</v>
      </c>
      <c r="H37" s="66">
        <f>'Modèle Amélioré'!H49</f>
        <v>5610.0069434992356</v>
      </c>
      <c r="I37" s="66">
        <f>'Modèle Amélioré'!I49</f>
        <v>5976.5139594241973</v>
      </c>
      <c r="J37" s="81">
        <f>SUM(E37:I37)</f>
        <v>23865.349169840825</v>
      </c>
    </row>
    <row r="39" spans="1:10" ht="15.75" customHeight="1" x14ac:dyDescent="0.3">
      <c r="A39" s="1" t="s">
        <v>124</v>
      </c>
      <c r="B39" s="1"/>
      <c r="C39" s="1"/>
      <c r="D39" s="1"/>
      <c r="E39" s="1"/>
      <c r="F39" s="1"/>
      <c r="G39" s="1"/>
      <c r="H39" s="1"/>
      <c r="I39" s="1"/>
      <c r="J39" s="1"/>
    </row>
    <row r="40" spans="1:10" ht="13.5" customHeight="1" x14ac:dyDescent="0.3">
      <c r="A40" s="72"/>
      <c r="B40" s="77" t="s">
        <v>125</v>
      </c>
      <c r="C40" s="78" t="str">
        <f>'Modèle Amélioré'!C51</f>
        <v>0</v>
      </c>
      <c r="D40" s="78" t="str">
        <f>'Modèle Amélioré'!D51</f>
        <v>0</v>
      </c>
      <c r="E40" s="79">
        <f>'Modèle Amélioré'!E51</f>
        <v>5000</v>
      </c>
      <c r="F40" s="79" t="str">
        <f>'Modèle Amélioré'!F51</f>
        <v>0</v>
      </c>
      <c r="G40" s="79" t="str">
        <f>'Modèle Amélioré'!G51</f>
        <v>0</v>
      </c>
      <c r="H40" s="79" t="str">
        <f>'Modèle Amélioré'!H51</f>
        <v>0</v>
      </c>
      <c r="I40" s="79" t="str">
        <f>'Modèle Amélioré'!I51</f>
        <v>0</v>
      </c>
      <c r="J40" s="80">
        <f t="shared" ref="J40:J46" si="0">SUM(E40:I40)</f>
        <v>5000</v>
      </c>
    </row>
    <row r="41" spans="1:10" ht="13.5" customHeight="1" x14ac:dyDescent="0.3">
      <c r="A41" s="72"/>
      <c r="B41" s="77" t="s">
        <v>126</v>
      </c>
      <c r="C41" s="78" t="str">
        <f>'Modèle Amélioré'!C52</f>
        <v>0</v>
      </c>
      <c r="D41" s="78">
        <f>'Modèle Amélioré'!D52</f>
        <v>0</v>
      </c>
      <c r="E41" s="79">
        <f>'Modèle Amélioré'!E52</f>
        <v>0</v>
      </c>
      <c r="F41" s="79">
        <f>'Modèle Amélioré'!F52</f>
        <v>0</v>
      </c>
      <c r="G41" s="79">
        <f>'Modèle Amélioré'!G52</f>
        <v>0</v>
      </c>
      <c r="H41" s="79">
        <f>'Modèle Amélioré'!H52</f>
        <v>0</v>
      </c>
      <c r="I41" s="79">
        <f>'Modèle Amélioré'!I52</f>
        <v>0</v>
      </c>
      <c r="J41" s="80">
        <f t="shared" si="0"/>
        <v>0</v>
      </c>
    </row>
    <row r="42" spans="1:10" ht="13.5" customHeight="1" x14ac:dyDescent="0.3">
      <c r="A42" s="72" t="s">
        <v>65</v>
      </c>
      <c r="B42" s="82" t="s">
        <v>127</v>
      </c>
      <c r="C42" s="83">
        <f>'Modèle Amélioré'!C53</f>
        <v>11928.027727024657</v>
      </c>
      <c r="D42" s="83">
        <f>'Modèle Amélioré'!D53</f>
        <v>4673.0873056986311</v>
      </c>
      <c r="E42" s="83">
        <f>'Modèle Amélioré'!E53</f>
        <v>7552.0442479216417</v>
      </c>
      <c r="F42" s="83">
        <f>'Modèle Amélioré'!F53</f>
        <v>4469.1795906631387</v>
      </c>
      <c r="G42" s="83">
        <f>'Modèle Amélioré'!G53</f>
        <v>5257.6044283326082</v>
      </c>
      <c r="H42" s="83">
        <f>'Modèle Amélioré'!H53</f>
        <v>5610.0069434992356</v>
      </c>
      <c r="I42" s="83">
        <f>'Modèle Amélioré'!I53</f>
        <v>5976.5139594241973</v>
      </c>
      <c r="J42" s="84">
        <f t="shared" si="0"/>
        <v>28865.349169840825</v>
      </c>
    </row>
    <row r="43" spans="1:10" ht="13.5" customHeight="1" x14ac:dyDescent="0.3">
      <c r="A43" s="72"/>
      <c r="B43" s="77" t="s">
        <v>128</v>
      </c>
      <c r="C43" s="78" t="str">
        <f>'Modèle Amélioré'!C54</f>
        <v>0</v>
      </c>
      <c r="D43" s="78" t="str">
        <f>'Modèle Amélioré'!D54</f>
        <v>0</v>
      </c>
      <c r="E43" s="79">
        <f>'Modèle Amélioré'!E54</f>
        <v>0</v>
      </c>
      <c r="F43" s="79">
        <f>'Modèle Amélioré'!F54</f>
        <v>1250</v>
      </c>
      <c r="G43" s="79">
        <f>'Modèle Amélioré'!G54</f>
        <v>1250</v>
      </c>
      <c r="H43" s="79">
        <f>'Modèle Amélioré'!H54</f>
        <v>1250</v>
      </c>
      <c r="I43" s="79">
        <f>'Modèle Amélioré'!I54</f>
        <v>1250</v>
      </c>
      <c r="J43" s="80">
        <f t="shared" si="0"/>
        <v>5000</v>
      </c>
    </row>
    <row r="44" spans="1:10" ht="13.5" customHeight="1" x14ac:dyDescent="0.3">
      <c r="A44" s="72"/>
      <c r="B44" s="77" t="s">
        <v>129</v>
      </c>
      <c r="C44" s="78" t="str">
        <f>'Modèle Amélioré'!C55</f>
        <v>0</v>
      </c>
      <c r="D44" s="78" t="str">
        <f>'Modèle Amélioré'!D55</f>
        <v>0</v>
      </c>
      <c r="E44" s="79">
        <f>'Modèle Amélioré'!E55</f>
        <v>994.61849999999993</v>
      </c>
      <c r="F44" s="79">
        <f>'Modèle Amélioré'!F55</f>
        <v>900.86849999999993</v>
      </c>
      <c r="G44" s="79">
        <f>'Modèle Amélioré'!G55</f>
        <v>807.11849999999993</v>
      </c>
      <c r="H44" s="79">
        <f>'Modèle Amélioré'!H55</f>
        <v>713.36849999999993</v>
      </c>
      <c r="I44" s="79">
        <f>'Modèle Amélioré'!I55</f>
        <v>619.61849999999993</v>
      </c>
      <c r="J44" s="80">
        <f t="shared" si="0"/>
        <v>4035.5924999999997</v>
      </c>
    </row>
    <row r="45" spans="1:10" ht="15" customHeight="1" x14ac:dyDescent="0.3">
      <c r="A45" s="55" t="s">
        <v>67</v>
      </c>
      <c r="B45" s="88" t="s">
        <v>130</v>
      </c>
      <c r="C45" s="89">
        <f>'Modèle Amélioré'!C56</f>
        <v>0</v>
      </c>
      <c r="D45" s="89">
        <f>'Modèle Amélioré'!D56</f>
        <v>0</v>
      </c>
      <c r="E45" s="89">
        <f>'Modèle Amélioré'!E56</f>
        <v>994.61849999999993</v>
      </c>
      <c r="F45" s="89">
        <f>'Modèle Amélioré'!F56</f>
        <v>2150.8685</v>
      </c>
      <c r="G45" s="89">
        <f>'Modèle Amélioré'!G56</f>
        <v>2057.1185</v>
      </c>
      <c r="H45" s="89">
        <f>'Modèle Amélioré'!H56</f>
        <v>1963.3685</v>
      </c>
      <c r="I45" s="89">
        <f>'Modèle Amélioré'!I56</f>
        <v>1869.6185</v>
      </c>
      <c r="J45" s="90">
        <f t="shared" si="0"/>
        <v>9035.5925000000007</v>
      </c>
    </row>
    <row r="46" spans="1:10" ht="16.5" customHeight="1" x14ac:dyDescent="0.3">
      <c r="A46" s="63" t="s">
        <v>72</v>
      </c>
      <c r="B46" s="64" t="s">
        <v>73</v>
      </c>
      <c r="C46" s="65">
        <f>'Modèle Amélioré'!C57</f>
        <v>11928.027727024657</v>
      </c>
      <c r="D46" s="65">
        <f>'Modèle Amélioré'!D57</f>
        <v>4673.0873056986311</v>
      </c>
      <c r="E46" s="66">
        <f>'Modèle Amélioré'!E57</f>
        <v>6557.4257479216421</v>
      </c>
      <c r="F46" s="66">
        <f>'Modèle Amélioré'!F57</f>
        <v>2318.3110906631387</v>
      </c>
      <c r="G46" s="66">
        <f>'Modèle Amélioré'!G57</f>
        <v>3200.4859283326082</v>
      </c>
      <c r="H46" s="66">
        <f>'Modèle Amélioré'!H57</f>
        <v>3646.6384434992356</v>
      </c>
      <c r="I46" s="66">
        <f>'Modèle Amélioré'!I57</f>
        <v>4106.8954594241968</v>
      </c>
      <c r="J46" s="81">
        <f t="shared" si="0"/>
        <v>19829.756669840819</v>
      </c>
    </row>
    <row r="47" spans="1:10" ht="13.5" customHeight="1" x14ac:dyDescent="0.3">
      <c r="A47" s="72"/>
      <c r="B47" s="82" t="s">
        <v>131</v>
      </c>
      <c r="C47" s="83">
        <f>'Modèle Amélioré'!C58</f>
        <v>-3101.52</v>
      </c>
      <c r="D47" s="83">
        <f>'Modèle Amélioré'!D58</f>
        <v>1571.5673056986311</v>
      </c>
      <c r="E47" s="83">
        <f>'Modèle Amélioré'!E58</f>
        <v>8128.9930536202737</v>
      </c>
      <c r="F47" s="83">
        <f>'Modèle Amélioré'!F58</f>
        <v>10447.304144283413</v>
      </c>
      <c r="G47" s="83">
        <f>'Modèle Amélioré'!G58</f>
        <v>13647.790072616021</v>
      </c>
      <c r="H47" s="83">
        <f>'Modèle Amélioré'!H58</f>
        <v>17294.428516115255</v>
      </c>
      <c r="I47" s="83">
        <f>'Modèle Amélioré'!I58</f>
        <v>21401.323975539453</v>
      </c>
      <c r="J47" s="76" t="s">
        <v>21</v>
      </c>
    </row>
    <row r="48" spans="1:10" ht="12.75" customHeight="1" x14ac:dyDescent="0.3">
      <c r="A48" s="68"/>
      <c r="B48" s="69" t="s">
        <v>132</v>
      </c>
      <c r="C48" s="70">
        <f>'Modèle Amélioré'!C59</f>
        <v>-7.9898554864333823E-2</v>
      </c>
      <c r="D48" s="70">
        <f>'Modèle Amélioré'!D59</f>
        <v>3.6457754062803868E-2</v>
      </c>
      <c r="E48" s="70">
        <f>'Modèle Amélioré'!E59</f>
        <v>0.17461032575362584</v>
      </c>
      <c r="F48" s="70">
        <f>'Modèle Amélioré'!F59</f>
        <v>0.20972665519668091</v>
      </c>
      <c r="G48" s="70">
        <f>'Modèle Amélioré'!G59</f>
        <v>0.26092904635867276</v>
      </c>
      <c r="H48" s="70">
        <f>'Modèle Amélioré'!H59</f>
        <v>0.31490315358700322</v>
      </c>
      <c r="I48" s="70">
        <f>'Modèle Amélioré'!I59</f>
        <v>0.37112664592721417</v>
      </c>
      <c r="J48" s="71" t="s">
        <v>21</v>
      </c>
    </row>
    <row r="50" spans="1:10" ht="15.75" customHeight="1" x14ac:dyDescent="0.3">
      <c r="A50" s="1" t="s">
        <v>133</v>
      </c>
      <c r="B50" s="1"/>
      <c r="C50" s="1"/>
      <c r="D50" s="1"/>
      <c r="E50" s="1"/>
      <c r="F50" s="1"/>
      <c r="G50" s="1"/>
      <c r="H50" s="1"/>
      <c r="I50" s="1"/>
      <c r="J50" s="1"/>
    </row>
    <row r="51" spans="1:10" ht="15.75" customHeight="1" x14ac:dyDescent="0.3">
      <c r="A51" s="63" t="s">
        <v>80</v>
      </c>
      <c r="B51" s="91" t="s">
        <v>134</v>
      </c>
      <c r="C51" s="92" t="str">
        <f>'Modèle Amélioré'!C61</f>
        <v>-</v>
      </c>
      <c r="D51" s="92" t="str">
        <f>'Modèle Amélioré'!D61</f>
        <v>-</v>
      </c>
      <c r="E51" s="93">
        <f>'Modèle Amélioré'!E61</f>
        <v>2.9436052596263211</v>
      </c>
      <c r="F51" s="93">
        <f>'Modèle Amélioré'!F61</f>
        <v>2.0778488274216387</v>
      </c>
      <c r="G51" s="93">
        <f>'Modèle Amélioré'!G61</f>
        <v>2.5558101919420824</v>
      </c>
      <c r="H51" s="93">
        <f>'Modèle Amélioré'!H61</f>
        <v>2.8573377557494863</v>
      </c>
      <c r="I51" s="93">
        <f>'Modèle Amélioré'!I61</f>
        <v>3.1966489203140624</v>
      </c>
      <c r="J51" s="61" t="s">
        <v>21</v>
      </c>
    </row>
    <row r="52" spans="1:10" ht="15.75" customHeight="1" x14ac:dyDescent="0.3">
      <c r="A52" s="63"/>
      <c r="B52" s="91" t="s">
        <v>135</v>
      </c>
      <c r="C52" s="92" t="str">
        <f>'Modèle Amélioré'!C62</f>
        <v>-</v>
      </c>
      <c r="D52" s="92" t="str">
        <f>'Modèle Amélioré'!D62</f>
        <v>-</v>
      </c>
      <c r="E52" s="93">
        <f>'Modèle Amélioré'!E62</f>
        <v>5.6508562673628147</v>
      </c>
      <c r="F52" s="93">
        <f>'Modèle Amélioré'!F62</f>
        <v>2.8457933985807133</v>
      </c>
      <c r="G52" s="93">
        <f>'Modèle Amélioré'!G62</f>
        <v>3.1694876431236039</v>
      </c>
      <c r="H52" s="93">
        <f>'Modèle Amélioré'!H62</f>
        <v>3.5324670550895116</v>
      </c>
      <c r="I52" s="93">
        <f>'Modèle Amélioré'!I62</f>
        <v>3.9410809954881372</v>
      </c>
      <c r="J52" s="61" t="s">
        <v>21</v>
      </c>
    </row>
    <row r="53" spans="1:10" ht="15.75" customHeight="1" x14ac:dyDescent="0.3">
      <c r="A53" s="63"/>
      <c r="B53" s="91" t="s">
        <v>136</v>
      </c>
      <c r="C53" s="92" t="str">
        <f>'Modèle Amélioré'!C63</f>
        <v>-</v>
      </c>
      <c r="D53" s="92" t="str">
        <f>'Modèle Amélioré'!D63</f>
        <v>-</v>
      </c>
      <c r="E53" s="93">
        <f>'Modèle Amélioré'!E63</f>
        <v>8.2380223296469985</v>
      </c>
      <c r="F53" s="93">
        <f>'Modèle Amélioré'!F63</f>
        <v>4.0761430423819967</v>
      </c>
      <c r="G53" s="93">
        <f>'Modèle Amélioré'!G63</f>
        <v>4.4750023175238978</v>
      </c>
      <c r="H53" s="93">
        <f>'Modèle Amélioré'!H63</f>
        <v>4.9231158377387381</v>
      </c>
      <c r="I53" s="93">
        <f>'Modèle Amélioré'!I63</f>
        <v>5.4284791713126062</v>
      </c>
      <c r="J53" s="61" t="s">
        <v>21</v>
      </c>
    </row>
    <row r="55" spans="1:10" ht="12.75" customHeight="1" x14ac:dyDescent="0.3">
      <c r="A55" s="215" t="s">
        <v>137</v>
      </c>
      <c r="B55" s="215"/>
      <c r="C55" s="215"/>
      <c r="D55" s="215"/>
      <c r="E55" s="215"/>
      <c r="F55" s="215"/>
      <c r="G55" s="215"/>
      <c r="H55" s="215"/>
      <c r="I55" s="215"/>
      <c r="J55" s="215"/>
    </row>
    <row r="56" spans="1:10" ht="15" customHeight="1" x14ac:dyDescent="0.3">
      <c r="A56" s="94"/>
      <c r="B56" s="95" t="s">
        <v>138</v>
      </c>
      <c r="C56" s="96" t="s">
        <v>21</v>
      </c>
      <c r="D56" s="96" t="s">
        <v>21</v>
      </c>
      <c r="E56" s="93">
        <f>IF('Modèle Amélioré'!E56=0,"-",'Modèle Amélioré'!E44*1*1/'Modèle Amélioré'!E56)</f>
        <v>2.9436052596263211</v>
      </c>
      <c r="F56" s="93">
        <f>IF('Modèle Amélioré'!F56=0,"-",'Modèle Amélioré'!F44*1*1/'Modèle Amélioré'!F56)</f>
        <v>2.0778488274216387</v>
      </c>
      <c r="G56" s="93">
        <f>IF('Modèle Amélioré'!G56=0,"-",'Modèle Amélioré'!G44*1*1/'Modèle Amélioré'!G56)</f>
        <v>2.5558101919420824</v>
      </c>
      <c r="H56" s="93">
        <f>IF('Modèle Amélioré'!H56=0,"-",'Modèle Amélioré'!H44*1*1/'Modèle Amélioré'!H56)</f>
        <v>2.8573377557494863</v>
      </c>
      <c r="I56" s="93">
        <f>IF('Modèle Amélioré'!I56=0,"-",'Modèle Amélioré'!I44*1*1/'Modèle Amélioré'!I56)</f>
        <v>3.1966489203140624</v>
      </c>
      <c r="J56" s="61" t="s">
        <v>21</v>
      </c>
    </row>
    <row r="57" spans="1:10" ht="15" customHeight="1" x14ac:dyDescent="0.3">
      <c r="A57" s="97"/>
      <c r="B57" s="98" t="s">
        <v>139</v>
      </c>
      <c r="C57" s="96" t="s">
        <v>21</v>
      </c>
      <c r="D57" s="96" t="s">
        <v>21</v>
      </c>
      <c r="E57" s="99">
        <f>IF('Modèle Amélioré'!E56=0,"-",'Modèle Amélioré'!E44*0.9*0.85/'Modèle Amélioré'!E56)</f>
        <v>2.2518580236141359</v>
      </c>
      <c r="F57" s="99">
        <f>IF('Modèle Amélioré'!F56=0,"-",'Modèle Amélioré'!F44*0.9*0.85/'Modèle Amélioré'!F56)</f>
        <v>1.5895543529775533</v>
      </c>
      <c r="G57" s="99">
        <f>IF('Modèle Amélioré'!G56=0,"-",'Modèle Amélioré'!G44*0.9*0.85/'Modèle Amélioré'!G56)</f>
        <v>1.9551947968356929</v>
      </c>
      <c r="H57" s="99">
        <f>IF('Modèle Amélioré'!H56=0,"-",'Modèle Amélioré'!H44*0.9*0.85/'Modèle Amélioré'!H56)</f>
        <v>2.1858633831483565</v>
      </c>
      <c r="I57" s="99">
        <f>IF('Modèle Amélioré'!I56=0,"-",'Modèle Amélioré'!I44*0.9*0.85/'Modèle Amélioré'!I56)</f>
        <v>2.445436424040258</v>
      </c>
      <c r="J57" s="61" t="s">
        <v>21</v>
      </c>
    </row>
    <row r="58" spans="1:10" ht="15" customHeight="1" x14ac:dyDescent="0.3">
      <c r="A58" s="94"/>
      <c r="B58" s="95" t="s">
        <v>140</v>
      </c>
      <c r="C58" s="96" t="s">
        <v>21</v>
      </c>
      <c r="D58" s="96" t="s">
        <v>21</v>
      </c>
      <c r="E58" s="93">
        <f>IF('Modèle Amélioré'!E56=0,"-",'Modèle Amélioré'!E44*1.1*1.1/'Modèle Amélioré'!E56)</f>
        <v>3.5617623641478495</v>
      </c>
      <c r="F58" s="93">
        <f>IF('Modèle Amélioré'!F56=0,"-",'Modèle Amélioré'!F44*1.1*1.1/'Modèle Amélioré'!F56)</f>
        <v>2.5141970811801833</v>
      </c>
      <c r="G58" s="93">
        <f>IF('Modèle Amélioré'!G56=0,"-",'Modèle Amélioré'!G44*1.1*1.1/'Modèle Amélioré'!G56)</f>
        <v>3.09253033224992</v>
      </c>
      <c r="H58" s="93">
        <f>IF('Modèle Amélioré'!H56=0,"-",'Modèle Amélioré'!H44*1.1*1.1/'Modèle Amélioré'!H56)</f>
        <v>3.4573786844568786</v>
      </c>
      <c r="I58" s="93">
        <f>IF('Modèle Amélioré'!I56=0,"-",'Modèle Amélioré'!I44*1.1*1.1/'Modèle Amélioré'!I56)</f>
        <v>3.8679451935800162</v>
      </c>
      <c r="J58" s="61" t="s">
        <v>21</v>
      </c>
    </row>
    <row r="60" spans="1:10" ht="15.75" customHeight="1" x14ac:dyDescent="0.3">
      <c r="A60" s="1" t="s">
        <v>141</v>
      </c>
      <c r="B60" s="1"/>
      <c r="C60" s="1"/>
      <c r="D60" s="1"/>
      <c r="E60" s="1"/>
      <c r="F60" s="1"/>
      <c r="G60" s="1"/>
      <c r="H60" s="1"/>
      <c r="I60" s="1"/>
      <c r="J60" s="1"/>
    </row>
    <row r="61" spans="1:10" ht="13.5" customHeight="1" x14ac:dyDescent="0.3">
      <c r="A61" s="72"/>
      <c r="B61" s="100" t="s">
        <v>85</v>
      </c>
      <c r="C61" s="78">
        <f>'Modèle Amélioré'!C74</f>
        <v>8261.58</v>
      </c>
      <c r="D61" s="78">
        <f>'Modèle Amélioré'!D74</f>
        <v>8261.58</v>
      </c>
      <c r="E61" s="79">
        <f>'Modèle Amélioré'!E74</f>
        <v>13261.58</v>
      </c>
      <c r="F61" s="79">
        <f>'Modèle Amélioré'!F74</f>
        <v>12011.58</v>
      </c>
      <c r="G61" s="79">
        <f>'Modèle Amélioré'!G74</f>
        <v>10761.58</v>
      </c>
      <c r="H61" s="79">
        <f>'Modèle Amélioré'!H74</f>
        <v>9511.58</v>
      </c>
      <c r="I61" s="79">
        <f>'Modèle Amélioré'!I74</f>
        <v>8261.58</v>
      </c>
      <c r="J61" s="76" t="s">
        <v>21</v>
      </c>
    </row>
    <row r="62" spans="1:10" ht="13.5" customHeight="1" x14ac:dyDescent="0.3">
      <c r="A62" s="72"/>
      <c r="B62" s="100" t="s">
        <v>142</v>
      </c>
      <c r="C62" s="78">
        <f>'Modèle Amélioré'!C73</f>
        <v>16581.239000000001</v>
      </c>
      <c r="D62" s="78">
        <f>'Modèle Amélioré'!D73</f>
        <v>20115.051092000002</v>
      </c>
      <c r="E62" s="79">
        <f>'Modèle Amélioré'!E73</f>
        <v>23329.925276360002</v>
      </c>
      <c r="F62" s="79">
        <f>'Modèle Amélioré'!F73</f>
        <v>27045.280654875201</v>
      </c>
      <c r="G62" s="79">
        <f>'Modèle Amélioré'!G73</f>
        <v>31159.720321066165</v>
      </c>
      <c r="H62" s="79">
        <f>'Modèle Amélioré'!H73</f>
        <v>35689.682864316674</v>
      </c>
      <c r="I62" s="79">
        <f>'Modèle Amélioré'!I73</f>
        <v>40652.428803479714</v>
      </c>
      <c r="J62" s="76" t="s">
        <v>21</v>
      </c>
    </row>
    <row r="63" spans="1:10" ht="13.5" customHeight="1" x14ac:dyDescent="0.3">
      <c r="A63" s="72"/>
      <c r="B63" s="100" t="s">
        <v>143</v>
      </c>
      <c r="C63" s="78">
        <f>'Modèle Amélioré'!C72</f>
        <v>25057.050999999999</v>
      </c>
      <c r="D63" s="78">
        <f>'Modèle Amélioré'!D72</f>
        <v>25057.050999999999</v>
      </c>
      <c r="E63" s="79">
        <f>'Modèle Amélioré'!E72</f>
        <v>25057.050999999999</v>
      </c>
      <c r="F63" s="79">
        <f>'Modèle Amélioré'!F72</f>
        <v>25057.050999999999</v>
      </c>
      <c r="G63" s="79">
        <f>'Modèle Amélioré'!G72</f>
        <v>25057.050999999999</v>
      </c>
      <c r="H63" s="79">
        <f>'Modèle Amélioré'!H72</f>
        <v>25057.050999999999</v>
      </c>
      <c r="I63" s="79">
        <f>'Modèle Amélioré'!I72</f>
        <v>25057.050999999999</v>
      </c>
      <c r="J63" s="76" t="s">
        <v>21</v>
      </c>
    </row>
    <row r="64" spans="1:10" ht="13.5" customHeight="1" x14ac:dyDescent="0.3">
      <c r="A64" s="72"/>
      <c r="B64" s="82" t="s">
        <v>144</v>
      </c>
      <c r="C64" s="101">
        <f>'Modèle Amélioré'!C75</f>
        <v>0.49824865319171863</v>
      </c>
      <c r="D64" s="101">
        <f>'Modèle Amélioré'!D75</f>
        <v>0.41071633187577289</v>
      </c>
      <c r="E64" s="101">
        <f>'Modèle Amélioré'!E75</f>
        <v>0.56843645416377897</v>
      </c>
      <c r="F64" s="101">
        <f>'Modèle Amélioré'!F75</f>
        <v>0.44412850261307174</v>
      </c>
      <c r="G64" s="101">
        <f>'Modèle Amélioré'!G75</f>
        <v>0.34536831168938364</v>
      </c>
      <c r="H64" s="101">
        <f>'Modèle Amélioré'!H75</f>
        <v>0.26650783186168026</v>
      </c>
      <c r="I64" s="101">
        <f>'Modèle Amélioré'!I75</f>
        <v>0.20322475785980187</v>
      </c>
      <c r="J64" s="76" t="s">
        <v>21</v>
      </c>
    </row>
    <row r="65" spans="1:10" ht="13.5" customHeight="1" x14ac:dyDescent="0.3">
      <c r="A65" s="72"/>
      <c r="B65" s="82" t="s">
        <v>145</v>
      </c>
      <c r="C65" s="101">
        <f>'Modèle Amélioré'!C76</f>
        <v>1.1810619120585057</v>
      </c>
      <c r="D65" s="101">
        <f>'Modèle Amélioré'!D76</f>
        <v>1.0889485738146141</v>
      </c>
      <c r="E65" s="101">
        <f>'Modèle Amélioré'!E76</f>
        <v>1.6185114339092441</v>
      </c>
      <c r="F65" s="101">
        <f>'Modèle Amélioré'!F76</f>
        <v>1.3700514061268096</v>
      </c>
      <c r="G65" s="101">
        <f>'Modèle Amélioré'!G76</f>
        <v>1.1690240989783072</v>
      </c>
      <c r="H65" s="101">
        <f>'Modèle Amélioré'!H76</f>
        <v>0.98403555712257218</v>
      </c>
      <c r="I65" s="101">
        <f>'Modèle Amélioré'!I76</f>
        <v>0.81401412333704692</v>
      </c>
      <c r="J65" s="76" t="s">
        <v>21</v>
      </c>
    </row>
    <row r="66" spans="1:10" ht="13.5" customHeight="1" x14ac:dyDescent="0.3">
      <c r="A66" s="72"/>
      <c r="B66" s="82" t="s">
        <v>146</v>
      </c>
      <c r="C66" s="102">
        <f>'Modèle Amélioré'!C77</f>
        <v>0.33229022440339023</v>
      </c>
      <c r="D66" s="102">
        <f>'Modèle Amélioré'!D77</f>
        <v>0.37644890459479663</v>
      </c>
      <c r="E66" s="102">
        <f>'Modèle Amélioré'!E77</f>
        <v>0.37843425191947577</v>
      </c>
      <c r="F66" s="102">
        <f>'Modèle Amélioré'!F77</f>
        <v>0.42183170480160032</v>
      </c>
      <c r="G66" s="102">
        <f>'Modèle Amélioré'!G77</f>
        <v>0.46522077218203711</v>
      </c>
      <c r="H66" s="102">
        <f>'Modèle Amélioré'!H77</f>
        <v>0.50797807264832495</v>
      </c>
      <c r="I66" s="102">
        <f>'Modèle Amélioré'!I77</f>
        <v>0.54957207469355951</v>
      </c>
      <c r="J66" s="76" t="s">
        <v>21</v>
      </c>
    </row>
    <row r="68" spans="1:10" ht="18" customHeight="1" x14ac:dyDescent="0.3">
      <c r="A68" s="216" t="s">
        <v>147</v>
      </c>
      <c r="B68" s="216"/>
      <c r="C68" s="216"/>
      <c r="D68" s="216"/>
      <c r="E68" s="216"/>
      <c r="F68" s="216"/>
      <c r="G68" s="216"/>
      <c r="H68" s="216"/>
      <c r="I68" s="216"/>
      <c r="J68" s="216"/>
    </row>
  </sheetData>
  <mergeCells count="12">
    <mergeCell ref="A60:J60"/>
    <mergeCell ref="A68:J68"/>
    <mergeCell ref="A25:J25"/>
    <mergeCell ref="A34:J34"/>
    <mergeCell ref="A39:J39"/>
    <mergeCell ref="A50:J50"/>
    <mergeCell ref="A55:J55"/>
    <mergeCell ref="A1:J1"/>
    <mergeCell ref="A2:J2"/>
    <mergeCell ref="C3:D3"/>
    <mergeCell ref="E3:I3"/>
    <mergeCell ref="A6:J6"/>
  </mergeCells>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pageSetUpPr fitToPage="1"/>
  </sheetPr>
  <dimension ref="A1:Q52"/>
  <sheetViews>
    <sheetView showGridLines="0" tabSelected="1" topLeftCell="C33" zoomScaleNormal="100" workbookViewId="0">
      <selection activeCell="C23" sqref="C23"/>
    </sheetView>
  </sheetViews>
  <sheetFormatPr baseColWidth="10" defaultColWidth="8.6640625" defaultRowHeight="14.4" x14ac:dyDescent="0.3"/>
  <cols>
    <col min="1" max="1" width="12.44140625" customWidth="1"/>
    <col min="2" max="2" width="36" customWidth="1"/>
    <col min="3" max="3" width="50" customWidth="1"/>
    <col min="4" max="17" width="11" customWidth="1"/>
  </cols>
  <sheetData>
    <row r="1" spans="1:17" ht="25.5" customHeight="1" x14ac:dyDescent="0.3">
      <c r="A1" s="5" t="s">
        <v>148</v>
      </c>
      <c r="B1" s="5"/>
      <c r="C1" s="5"/>
      <c r="D1" s="5"/>
      <c r="E1" s="5"/>
      <c r="F1" s="5"/>
      <c r="G1" s="5"/>
      <c r="H1" s="5"/>
      <c r="I1" s="5"/>
      <c r="J1" s="5"/>
      <c r="K1" s="5"/>
      <c r="L1" s="5"/>
      <c r="M1" s="5"/>
      <c r="N1" s="5"/>
      <c r="O1" s="5"/>
      <c r="P1" s="5"/>
      <c r="Q1" s="5"/>
    </row>
    <row r="2" spans="1:17" ht="12.75" customHeight="1" x14ac:dyDescent="0.3">
      <c r="A2" s="4" t="s">
        <v>149</v>
      </c>
      <c r="B2" s="4"/>
      <c r="C2" s="4"/>
      <c r="D2" s="4"/>
      <c r="E2" s="4"/>
      <c r="F2" s="4"/>
      <c r="G2" s="4"/>
      <c r="H2" s="4"/>
      <c r="I2" s="4"/>
      <c r="J2" s="4"/>
      <c r="K2" s="4"/>
      <c r="L2" s="4"/>
      <c r="M2" s="4"/>
      <c r="N2" s="4"/>
      <c r="O2" s="4"/>
      <c r="P2" s="4"/>
      <c r="Q2" s="4"/>
    </row>
    <row r="4" spans="1:17" ht="15.75" customHeight="1" x14ac:dyDescent="0.3">
      <c r="A4" s="1" t="s">
        <v>150</v>
      </c>
      <c r="B4" s="1"/>
      <c r="C4" s="1"/>
      <c r="D4" s="1"/>
      <c r="E4" s="1"/>
      <c r="F4" s="1"/>
      <c r="G4" s="1"/>
      <c r="H4" s="1"/>
      <c r="I4" s="1"/>
      <c r="J4" s="1"/>
      <c r="K4" s="1"/>
      <c r="L4" s="1"/>
      <c r="M4" s="1"/>
      <c r="N4" s="1"/>
    </row>
    <row r="5" spans="1:17" ht="13.5" customHeight="1" x14ac:dyDescent="0.3">
      <c r="A5" s="103" t="s">
        <v>151</v>
      </c>
      <c r="B5" s="104" t="s">
        <v>152</v>
      </c>
      <c r="C5" s="104" t="s">
        <v>153</v>
      </c>
      <c r="D5" s="217"/>
      <c r="E5" s="217"/>
      <c r="F5" s="217"/>
      <c r="G5" s="217"/>
      <c r="H5" s="217"/>
      <c r="I5" s="217"/>
      <c r="J5" s="217"/>
      <c r="K5" s="217"/>
      <c r="L5" s="217"/>
      <c r="M5" s="217"/>
      <c r="N5" s="217"/>
      <c r="O5" s="217"/>
      <c r="P5" s="217"/>
      <c r="Q5" s="217"/>
    </row>
    <row r="6" spans="1:17" ht="39.75" customHeight="1" x14ac:dyDescent="0.3">
      <c r="A6" s="105" t="s">
        <v>154</v>
      </c>
      <c r="B6" s="106" t="s">
        <v>155</v>
      </c>
      <c r="C6" s="107" t="s">
        <v>156</v>
      </c>
      <c r="D6" s="218"/>
      <c r="E6" s="218"/>
      <c r="F6" s="218"/>
      <c r="G6" s="218"/>
      <c r="H6" s="218"/>
      <c r="I6" s="218"/>
      <c r="J6" s="218"/>
      <c r="K6" s="218"/>
      <c r="L6" s="218"/>
      <c r="M6" s="218"/>
      <c r="N6" s="218"/>
      <c r="O6" s="218"/>
      <c r="P6" s="218"/>
      <c r="Q6" s="218"/>
    </row>
    <row r="7" spans="1:17" ht="39.75" customHeight="1" x14ac:dyDescent="0.3">
      <c r="A7" s="105" t="s">
        <v>157</v>
      </c>
      <c r="B7" s="106" t="s">
        <v>158</v>
      </c>
      <c r="C7" s="107" t="s">
        <v>159</v>
      </c>
      <c r="D7" s="218"/>
      <c r="E7" s="218"/>
      <c r="F7" s="218"/>
      <c r="G7" s="218"/>
      <c r="H7" s="218"/>
      <c r="I7" s="218"/>
      <c r="J7" s="218"/>
      <c r="K7" s="218"/>
      <c r="L7" s="218"/>
      <c r="M7" s="218"/>
      <c r="N7" s="218"/>
      <c r="O7" s="218"/>
      <c r="P7" s="218"/>
      <c r="Q7" s="218"/>
    </row>
    <row r="8" spans="1:17" ht="39.75" customHeight="1" x14ac:dyDescent="0.3">
      <c r="A8" s="105" t="s">
        <v>160</v>
      </c>
      <c r="B8" s="106" t="s">
        <v>161</v>
      </c>
      <c r="C8" s="107" t="s">
        <v>162</v>
      </c>
      <c r="D8" s="218"/>
      <c r="E8" s="218"/>
      <c r="F8" s="218"/>
      <c r="G8" s="218"/>
      <c r="H8" s="218"/>
      <c r="I8" s="218"/>
      <c r="J8" s="218"/>
      <c r="K8" s="218"/>
      <c r="L8" s="218"/>
      <c r="M8" s="218"/>
      <c r="N8" s="218"/>
      <c r="O8" s="218"/>
      <c r="P8" s="218"/>
      <c r="Q8" s="218"/>
    </row>
    <row r="9" spans="1:17" ht="39.75" customHeight="1" x14ac:dyDescent="0.3">
      <c r="A9" s="105" t="s">
        <v>163</v>
      </c>
      <c r="B9" s="106" t="s">
        <v>164</v>
      </c>
      <c r="C9" s="107" t="s">
        <v>165</v>
      </c>
      <c r="D9" s="218"/>
      <c r="E9" s="218"/>
      <c r="F9" s="218"/>
      <c r="G9" s="218"/>
      <c r="H9" s="218"/>
      <c r="I9" s="218"/>
      <c r="J9" s="218"/>
      <c r="K9" s="218"/>
      <c r="L9" s="218"/>
      <c r="M9" s="218"/>
      <c r="N9" s="218"/>
      <c r="O9" s="218"/>
      <c r="P9" s="218"/>
      <c r="Q9" s="218"/>
    </row>
    <row r="10" spans="1:17" ht="39.75" customHeight="1" x14ac:dyDescent="0.3">
      <c r="A10" s="105" t="s">
        <v>166</v>
      </c>
      <c r="B10" s="106" t="s">
        <v>167</v>
      </c>
      <c r="C10" s="107" t="s">
        <v>168</v>
      </c>
      <c r="D10" s="218"/>
      <c r="E10" s="218"/>
      <c r="F10" s="218"/>
      <c r="G10" s="218"/>
      <c r="H10" s="218"/>
      <c r="I10" s="218"/>
      <c r="J10" s="218"/>
      <c r="K10" s="218"/>
      <c r="L10" s="218"/>
      <c r="M10" s="218"/>
      <c r="N10" s="218"/>
      <c r="O10" s="218"/>
      <c r="P10" s="218"/>
      <c r="Q10" s="218"/>
    </row>
    <row r="11" spans="1:17" ht="39.75" customHeight="1" x14ac:dyDescent="0.3">
      <c r="A11" s="105" t="s">
        <v>169</v>
      </c>
      <c r="B11" s="106" t="s">
        <v>170</v>
      </c>
      <c r="C11" s="107" t="s">
        <v>171</v>
      </c>
      <c r="D11" s="218"/>
      <c r="E11" s="218"/>
      <c r="F11" s="218"/>
      <c r="G11" s="218"/>
      <c r="H11" s="218"/>
      <c r="I11" s="218"/>
      <c r="J11" s="218"/>
      <c r="K11" s="218"/>
      <c r="L11" s="218"/>
      <c r="M11" s="218"/>
      <c r="N11" s="218"/>
      <c r="O11" s="218"/>
      <c r="P11" s="218"/>
      <c r="Q11" s="218"/>
    </row>
    <row r="12" spans="1:17" ht="39.75" customHeight="1" x14ac:dyDescent="0.3">
      <c r="A12" s="105" t="s">
        <v>172</v>
      </c>
      <c r="B12" s="106" t="s">
        <v>173</v>
      </c>
      <c r="C12" s="107" t="s">
        <v>174</v>
      </c>
      <c r="D12" s="218"/>
      <c r="E12" s="218"/>
      <c r="F12" s="218"/>
      <c r="G12" s="218"/>
      <c r="H12" s="218"/>
      <c r="I12" s="218"/>
      <c r="J12" s="218"/>
      <c r="K12" s="218"/>
      <c r="L12" s="218"/>
      <c r="M12" s="218"/>
      <c r="N12" s="218"/>
      <c r="O12" s="218"/>
      <c r="P12" s="218"/>
      <c r="Q12" s="218"/>
    </row>
    <row r="14" spans="1:17" ht="15.75" customHeight="1" x14ac:dyDescent="0.3">
      <c r="A14" s="1" t="s">
        <v>175</v>
      </c>
      <c r="B14" s="1"/>
      <c r="C14" s="1"/>
      <c r="D14" s="1"/>
      <c r="E14" s="1"/>
      <c r="F14" s="1"/>
      <c r="G14" s="1"/>
      <c r="H14" s="1"/>
      <c r="I14" s="1"/>
      <c r="J14" s="1"/>
      <c r="K14" s="1"/>
      <c r="L14" s="1"/>
      <c r="M14" s="1"/>
      <c r="N14" s="1"/>
    </row>
    <row r="15" spans="1:17" ht="13.5" customHeight="1" x14ac:dyDescent="0.3">
      <c r="A15" s="61"/>
      <c r="B15" s="108" t="s">
        <v>176</v>
      </c>
      <c r="C15" s="108" t="s">
        <v>177</v>
      </c>
      <c r="D15" s="109" t="s">
        <v>10</v>
      </c>
      <c r="E15" s="109" t="s">
        <v>11</v>
      </c>
      <c r="F15" s="109" t="s">
        <v>12</v>
      </c>
      <c r="G15" s="109" t="s">
        <v>13</v>
      </c>
      <c r="H15" s="109" t="s">
        <v>14</v>
      </c>
      <c r="I15" s="109" t="s">
        <v>178</v>
      </c>
      <c r="J15" s="109" t="s">
        <v>179</v>
      </c>
      <c r="K15" s="110" t="s">
        <v>10</v>
      </c>
      <c r="L15" s="110" t="s">
        <v>11</v>
      </c>
      <c r="M15" s="110" t="s">
        <v>12</v>
      </c>
      <c r="N15" s="110" t="s">
        <v>13</v>
      </c>
      <c r="O15" s="110" t="s">
        <v>14</v>
      </c>
      <c r="P15" s="110" t="s">
        <v>178</v>
      </c>
      <c r="Q15" s="110" t="s">
        <v>179</v>
      </c>
    </row>
    <row r="16" spans="1:17" ht="12" customHeight="1" x14ac:dyDescent="0.3">
      <c r="A16" s="61"/>
      <c r="B16" s="61"/>
      <c r="C16" s="61"/>
      <c r="D16" s="111" t="s">
        <v>180</v>
      </c>
      <c r="E16" s="111" t="s">
        <v>180</v>
      </c>
      <c r="F16" s="111" t="s">
        <v>180</v>
      </c>
      <c r="G16" s="111" t="s">
        <v>180</v>
      </c>
      <c r="H16" s="111" t="s">
        <v>180</v>
      </c>
      <c r="I16" s="111" t="s">
        <v>180</v>
      </c>
      <c r="J16" s="111" t="s">
        <v>180</v>
      </c>
      <c r="K16" s="112" t="s">
        <v>181</v>
      </c>
      <c r="L16" s="112" t="s">
        <v>181</v>
      </c>
      <c r="M16" s="112" t="s">
        <v>181</v>
      </c>
      <c r="N16" s="112" t="s">
        <v>181</v>
      </c>
      <c r="O16" s="112" t="s">
        <v>181</v>
      </c>
      <c r="P16" s="112" t="s">
        <v>181</v>
      </c>
      <c r="Q16" s="112" t="s">
        <v>181</v>
      </c>
    </row>
    <row r="17" spans="1:17" ht="51.75" customHeight="1" x14ac:dyDescent="0.3">
      <c r="A17" s="113"/>
      <c r="B17" s="114" t="s">
        <v>182</v>
      </c>
      <c r="C17" s="115" t="s">
        <v>183</v>
      </c>
      <c r="D17" s="116">
        <v>0.02</v>
      </c>
      <c r="E17" s="116">
        <v>0.05</v>
      </c>
      <c r="F17" s="116">
        <v>0.04</v>
      </c>
      <c r="G17" s="116">
        <v>0.04</v>
      </c>
      <c r="H17" s="116">
        <v>0</v>
      </c>
      <c r="I17" s="116">
        <v>0</v>
      </c>
      <c r="J17" s="116">
        <v>0</v>
      </c>
      <c r="K17" s="117">
        <v>0</v>
      </c>
      <c r="L17" s="117">
        <v>0</v>
      </c>
      <c r="M17" s="117">
        <v>0</v>
      </c>
      <c r="N17" s="117">
        <v>0</v>
      </c>
      <c r="O17" s="117">
        <v>0</v>
      </c>
      <c r="P17" s="117">
        <v>0</v>
      </c>
      <c r="Q17" s="117">
        <v>0</v>
      </c>
    </row>
    <row r="18" spans="1:17" ht="51.75" customHeight="1" x14ac:dyDescent="0.3">
      <c r="A18" s="113"/>
      <c r="B18" s="114" t="s">
        <v>184</v>
      </c>
      <c r="C18" s="115" t="s">
        <v>185</v>
      </c>
      <c r="D18" s="116">
        <v>0.58009999999999995</v>
      </c>
      <c r="E18" s="116">
        <v>0.58009999999999995</v>
      </c>
      <c r="F18" s="116">
        <v>0.58009999999999995</v>
      </c>
      <c r="G18" s="116">
        <v>0.58009999999999995</v>
      </c>
      <c r="H18" s="116">
        <v>0.58009999999999995</v>
      </c>
      <c r="I18" s="116">
        <v>0.58009999999999995</v>
      </c>
      <c r="J18" s="116">
        <v>0.58009999999999995</v>
      </c>
      <c r="K18" s="117">
        <v>0.66</v>
      </c>
      <c r="L18" s="117">
        <v>0.66</v>
      </c>
      <c r="M18" s="117">
        <v>0.66</v>
      </c>
      <c r="N18" s="117">
        <v>0.66</v>
      </c>
      <c r="O18" s="117">
        <v>0.66</v>
      </c>
      <c r="P18" s="117">
        <v>0.66</v>
      </c>
      <c r="Q18" s="117">
        <v>0.66</v>
      </c>
    </row>
    <row r="19" spans="1:17" ht="51.75" customHeight="1" x14ac:dyDescent="0.3">
      <c r="A19" s="113"/>
      <c r="B19" s="114" t="s">
        <v>186</v>
      </c>
      <c r="C19" s="115" t="s">
        <v>187</v>
      </c>
      <c r="D19" s="116">
        <v>0.1012</v>
      </c>
      <c r="E19" s="116">
        <v>9.9599999999999994E-2</v>
      </c>
      <c r="F19" s="116">
        <v>9.8100000000000007E-2</v>
      </c>
      <c r="G19" s="116">
        <v>9.5000000000000001E-2</v>
      </c>
      <c r="H19" s="116">
        <v>9.6000000000000002E-2</v>
      </c>
      <c r="I19" s="116">
        <v>9.6000000000000002E-2</v>
      </c>
      <c r="J19" s="116">
        <v>9.6000000000000002E-2</v>
      </c>
      <c r="K19" s="117">
        <v>0.13</v>
      </c>
      <c r="L19" s="117">
        <v>0.13</v>
      </c>
      <c r="M19" s="117">
        <v>0.13</v>
      </c>
      <c r="N19" s="117">
        <v>0.13</v>
      </c>
      <c r="O19" s="117">
        <v>0.13</v>
      </c>
      <c r="P19" s="117">
        <v>0.13</v>
      </c>
      <c r="Q19" s="117">
        <v>0.13</v>
      </c>
    </row>
    <row r="20" spans="1:17" ht="51.75" customHeight="1" x14ac:dyDescent="0.3">
      <c r="A20" s="113"/>
      <c r="B20" s="114" t="s">
        <v>188</v>
      </c>
      <c r="C20" s="115" t="s">
        <v>189</v>
      </c>
      <c r="D20" s="116">
        <v>0.1106</v>
      </c>
      <c r="E20" s="116">
        <v>0.1099</v>
      </c>
      <c r="F20" s="116">
        <v>0.1082</v>
      </c>
      <c r="G20" s="116">
        <v>0.1086</v>
      </c>
      <c r="H20" s="116">
        <v>0.1094</v>
      </c>
      <c r="I20" s="116">
        <v>0.1094</v>
      </c>
      <c r="J20" s="116">
        <v>0.1094</v>
      </c>
      <c r="K20" s="117">
        <v>0.09</v>
      </c>
      <c r="L20" s="117">
        <v>0.09</v>
      </c>
      <c r="M20" s="117">
        <v>0.09</v>
      </c>
      <c r="N20" s="117">
        <v>0.09</v>
      </c>
      <c r="O20" s="117">
        <v>0.09</v>
      </c>
      <c r="P20" s="117">
        <v>0.09</v>
      </c>
      <c r="Q20" s="117">
        <v>0.09</v>
      </c>
    </row>
    <row r="21" spans="1:17" ht="51.75" customHeight="1" x14ac:dyDescent="0.3">
      <c r="A21" s="113"/>
      <c r="B21" s="114" t="s">
        <v>190</v>
      </c>
      <c r="C21" s="115" t="s">
        <v>191</v>
      </c>
      <c r="D21" s="116">
        <v>0.189</v>
      </c>
      <c r="E21" s="116">
        <v>0.19109999999999999</v>
      </c>
      <c r="F21" s="116">
        <v>0.19439999999999999</v>
      </c>
      <c r="G21" s="116">
        <v>0.1971</v>
      </c>
      <c r="H21" s="116">
        <v>0.1953</v>
      </c>
      <c r="I21" s="116">
        <v>0.1953</v>
      </c>
      <c r="J21" s="116">
        <v>0.1953</v>
      </c>
      <c r="K21" s="117">
        <v>0.12</v>
      </c>
      <c r="L21" s="117">
        <v>0.12</v>
      </c>
      <c r="M21" s="117">
        <v>0.12</v>
      </c>
      <c r="N21" s="117">
        <v>0.12</v>
      </c>
      <c r="O21" s="117">
        <v>0.12</v>
      </c>
      <c r="P21" s="117">
        <v>0.12</v>
      </c>
      <c r="Q21" s="117">
        <v>0.12</v>
      </c>
    </row>
    <row r="22" spans="1:17" ht="51.75" customHeight="1" x14ac:dyDescent="0.3">
      <c r="A22" s="113"/>
      <c r="B22" s="114" t="s">
        <v>192</v>
      </c>
      <c r="C22" s="115" t="s">
        <v>193</v>
      </c>
      <c r="D22" s="118">
        <v>251</v>
      </c>
      <c r="E22" s="118">
        <v>251</v>
      </c>
      <c r="F22" s="118">
        <v>251</v>
      </c>
      <c r="G22" s="118">
        <v>251</v>
      </c>
      <c r="H22" s="118">
        <v>251</v>
      </c>
      <c r="I22" s="118">
        <v>251</v>
      </c>
      <c r="J22" s="118">
        <v>251</v>
      </c>
      <c r="K22" s="119">
        <v>265</v>
      </c>
      <c r="L22" s="119">
        <v>265</v>
      </c>
      <c r="M22" s="119">
        <v>265</v>
      </c>
      <c r="N22" s="119">
        <v>265</v>
      </c>
      <c r="O22" s="119">
        <v>260</v>
      </c>
      <c r="P22" s="119">
        <v>255</v>
      </c>
      <c r="Q22" s="119">
        <v>250</v>
      </c>
    </row>
    <row r="23" spans="1:17" ht="51.75" customHeight="1" x14ac:dyDescent="0.3">
      <c r="A23" s="113"/>
      <c r="B23" s="114" t="s">
        <v>194</v>
      </c>
      <c r="C23" s="115" t="s">
        <v>195</v>
      </c>
      <c r="D23" s="120">
        <v>700</v>
      </c>
      <c r="E23" s="120">
        <v>700</v>
      </c>
      <c r="F23" s="120">
        <v>700</v>
      </c>
      <c r="G23" s="120">
        <v>700</v>
      </c>
      <c r="H23" s="120">
        <v>700</v>
      </c>
      <c r="I23" s="120">
        <v>700</v>
      </c>
      <c r="J23" s="120">
        <v>700</v>
      </c>
      <c r="K23" s="121">
        <v>700</v>
      </c>
      <c r="L23" s="121">
        <v>700</v>
      </c>
      <c r="M23" s="121">
        <v>700</v>
      </c>
      <c r="N23" s="121">
        <v>700</v>
      </c>
      <c r="O23" s="121">
        <v>700</v>
      </c>
      <c r="P23" s="121">
        <v>700</v>
      </c>
      <c r="Q23" s="121">
        <v>700</v>
      </c>
    </row>
    <row r="24" spans="1:17" ht="51.75" customHeight="1" x14ac:dyDescent="0.3">
      <c r="A24" s="113"/>
      <c r="B24" s="114" t="s">
        <v>196</v>
      </c>
      <c r="C24" s="115" t="s">
        <v>197</v>
      </c>
      <c r="D24" s="120">
        <v>2469</v>
      </c>
      <c r="E24" s="120">
        <v>3869</v>
      </c>
      <c r="F24" s="120">
        <v>4102</v>
      </c>
      <c r="G24" s="120">
        <v>4335</v>
      </c>
      <c r="H24" s="120">
        <v>4569</v>
      </c>
      <c r="I24" s="120">
        <v>4569</v>
      </c>
      <c r="J24" s="120">
        <v>4569</v>
      </c>
      <c r="K24" s="121">
        <v>2469</v>
      </c>
      <c r="L24" s="121">
        <v>3869</v>
      </c>
      <c r="M24" s="121">
        <v>4102</v>
      </c>
      <c r="N24" s="121">
        <v>4335</v>
      </c>
      <c r="O24" s="121">
        <v>4569</v>
      </c>
      <c r="P24" s="121">
        <v>4569</v>
      </c>
      <c r="Q24" s="121">
        <v>4569</v>
      </c>
    </row>
    <row r="25" spans="1:17" ht="51.75" customHeight="1" x14ac:dyDescent="0.3">
      <c r="A25" s="113"/>
      <c r="B25" s="114" t="s">
        <v>198</v>
      </c>
      <c r="C25" s="115" t="s">
        <v>199</v>
      </c>
      <c r="D25" s="116">
        <v>0</v>
      </c>
      <c r="E25" s="116">
        <v>0</v>
      </c>
      <c r="F25" s="116">
        <v>0</v>
      </c>
      <c r="G25" s="116">
        <v>0</v>
      </c>
      <c r="H25" s="116">
        <v>0</v>
      </c>
      <c r="I25" s="116">
        <v>0</v>
      </c>
      <c r="J25" s="116">
        <v>0</v>
      </c>
      <c r="K25" s="117">
        <v>0</v>
      </c>
      <c r="L25" s="117">
        <v>0</v>
      </c>
      <c r="M25" s="117">
        <v>0</v>
      </c>
      <c r="N25" s="117">
        <v>0</v>
      </c>
      <c r="O25" s="117">
        <v>0</v>
      </c>
      <c r="P25" s="117">
        <v>0</v>
      </c>
      <c r="Q25" s="117">
        <v>0</v>
      </c>
    </row>
    <row r="27" spans="1:17" ht="15.75" customHeight="1" x14ac:dyDescent="0.3">
      <c r="A27" s="1" t="s">
        <v>200</v>
      </c>
      <c r="B27" s="1"/>
      <c r="C27" s="1"/>
      <c r="D27" s="1"/>
      <c r="E27" s="1"/>
      <c r="F27" s="1"/>
      <c r="G27" s="1"/>
      <c r="H27" s="1"/>
      <c r="I27" s="1"/>
      <c r="J27" s="1"/>
      <c r="K27" s="1"/>
      <c r="L27" s="1"/>
      <c r="M27" s="1"/>
      <c r="N27" s="1"/>
    </row>
    <row r="28" spans="1:17" ht="13.5" customHeight="1" x14ac:dyDescent="0.3">
      <c r="A28" s="61"/>
      <c r="B28" s="61"/>
      <c r="C28" s="61"/>
      <c r="D28" s="109" t="s">
        <v>10</v>
      </c>
      <c r="E28" s="109" t="s">
        <v>11</v>
      </c>
      <c r="F28" s="109" t="s">
        <v>12</v>
      </c>
      <c r="G28" s="109" t="s">
        <v>13</v>
      </c>
      <c r="H28" s="109" t="s">
        <v>14</v>
      </c>
      <c r="I28" s="109" t="s">
        <v>178</v>
      </c>
      <c r="J28" s="109" t="s">
        <v>179</v>
      </c>
      <c r="K28" s="110" t="s">
        <v>10</v>
      </c>
      <c r="L28" s="110" t="s">
        <v>11</v>
      </c>
      <c r="M28" s="110" t="s">
        <v>12</v>
      </c>
      <c r="N28" s="110" t="s">
        <v>13</v>
      </c>
      <c r="O28" s="110" t="s">
        <v>14</v>
      </c>
      <c r="P28" s="110" t="s">
        <v>178</v>
      </c>
      <c r="Q28" s="110" t="s">
        <v>179</v>
      </c>
    </row>
    <row r="29" spans="1:17" ht="12" customHeight="1" x14ac:dyDescent="0.3">
      <c r="A29" s="61"/>
      <c r="B29" s="61"/>
      <c r="C29" s="61"/>
      <c r="D29" s="111" t="s">
        <v>180</v>
      </c>
      <c r="E29" s="111" t="s">
        <v>180</v>
      </c>
      <c r="F29" s="111" t="s">
        <v>180</v>
      </c>
      <c r="G29" s="111" t="s">
        <v>180</v>
      </c>
      <c r="H29" s="111" t="s">
        <v>180</v>
      </c>
      <c r="I29" s="111" t="s">
        <v>180</v>
      </c>
      <c r="J29" s="111" t="s">
        <v>180</v>
      </c>
      <c r="K29" s="112" t="s">
        <v>201</v>
      </c>
      <c r="L29" s="112" t="s">
        <v>201</v>
      </c>
      <c r="M29" s="112" t="s">
        <v>201</v>
      </c>
      <c r="N29" s="112" t="s">
        <v>201</v>
      </c>
      <c r="O29" s="112" t="s">
        <v>201</v>
      </c>
      <c r="P29" s="112" t="s">
        <v>201</v>
      </c>
      <c r="Q29" s="112" t="s">
        <v>201</v>
      </c>
    </row>
    <row r="30" spans="1:17" ht="15" customHeight="1" x14ac:dyDescent="0.3">
      <c r="A30" s="122"/>
      <c r="B30" s="57" t="s">
        <v>202</v>
      </c>
      <c r="C30" s="54"/>
      <c r="D30" s="123">
        <v>43969.14</v>
      </c>
      <c r="E30" s="123">
        <v>46167.597000000002</v>
      </c>
      <c r="F30" s="123">
        <v>48014.300880000003</v>
      </c>
      <c r="G30" s="123">
        <v>49934.872915200001</v>
      </c>
      <c r="H30" s="123">
        <v>49934.872915200001</v>
      </c>
      <c r="I30" s="123">
        <v>49934.872915200001</v>
      </c>
      <c r="J30" s="123">
        <v>49934.872915200001</v>
      </c>
      <c r="K30" s="124">
        <v>43107</v>
      </c>
      <c r="L30" s="124">
        <v>43107</v>
      </c>
      <c r="M30" s="124">
        <v>43107</v>
      </c>
      <c r="N30" s="124">
        <v>43107</v>
      </c>
      <c r="O30" s="124">
        <v>43107</v>
      </c>
      <c r="P30" s="124">
        <v>43107</v>
      </c>
      <c r="Q30" s="124">
        <v>43107</v>
      </c>
    </row>
    <row r="31" spans="1:17" ht="12.75" customHeight="1" x14ac:dyDescent="0.3">
      <c r="A31" s="125"/>
      <c r="B31" s="126" t="s">
        <v>203</v>
      </c>
      <c r="C31" s="68"/>
      <c r="D31" s="127">
        <v>0.20810000000000001</v>
      </c>
      <c r="E31" s="127">
        <v>0.2104</v>
      </c>
      <c r="F31" s="127">
        <v>0.21360000000000001</v>
      </c>
      <c r="G31" s="127">
        <v>0.21629999999999999</v>
      </c>
      <c r="H31" s="127">
        <v>0.2145</v>
      </c>
      <c r="I31" s="127">
        <v>0.2145</v>
      </c>
      <c r="J31" s="127">
        <v>0.2145</v>
      </c>
      <c r="K31" s="128">
        <v>0.12</v>
      </c>
      <c r="L31" s="128">
        <v>0.12</v>
      </c>
      <c r="M31" s="128">
        <v>0.12</v>
      </c>
      <c r="N31" s="128">
        <v>0.12</v>
      </c>
      <c r="O31" s="128">
        <v>0.12</v>
      </c>
      <c r="P31" s="128">
        <v>0.12</v>
      </c>
      <c r="Q31" s="128">
        <v>0.12</v>
      </c>
    </row>
    <row r="32" spans="1:17" ht="15" customHeight="1" x14ac:dyDescent="0.3">
      <c r="A32" s="122"/>
      <c r="B32" s="57" t="s">
        <v>204</v>
      </c>
      <c r="C32" s="54"/>
      <c r="D32" s="123">
        <v>9149.9780339999998</v>
      </c>
      <c r="E32" s="123">
        <v>9713.6624088000008</v>
      </c>
      <c r="F32" s="123">
        <v>10255.854667968</v>
      </c>
      <c r="G32" s="123">
        <v>10800.913011557799</v>
      </c>
      <c r="H32" s="123">
        <v>10711.0302403104</v>
      </c>
      <c r="I32" s="123">
        <v>10711.0302403104</v>
      </c>
      <c r="J32" s="123">
        <v>10711.0302403104</v>
      </c>
      <c r="K32" s="124">
        <v>5172.84</v>
      </c>
      <c r="L32" s="124">
        <v>5172.84</v>
      </c>
      <c r="M32" s="124">
        <v>5172.84</v>
      </c>
      <c r="N32" s="124">
        <v>5172.84</v>
      </c>
      <c r="O32" s="124">
        <v>5172.84</v>
      </c>
      <c r="P32" s="124">
        <v>5172.84</v>
      </c>
      <c r="Q32" s="124">
        <v>5172.84</v>
      </c>
    </row>
    <row r="33" spans="1:17" ht="12.75" customHeight="1" x14ac:dyDescent="0.3">
      <c r="A33" s="125"/>
      <c r="B33" s="126" t="s">
        <v>205</v>
      </c>
      <c r="C33" s="68"/>
      <c r="D33" s="129">
        <v>2469</v>
      </c>
      <c r="E33" s="129">
        <v>3869</v>
      </c>
      <c r="F33" s="129">
        <v>4102</v>
      </c>
      <c r="G33" s="129">
        <v>4335</v>
      </c>
      <c r="H33" s="129">
        <v>4569</v>
      </c>
      <c r="I33" s="129">
        <v>4569</v>
      </c>
      <c r="J33" s="129">
        <v>4569</v>
      </c>
      <c r="K33" s="130">
        <v>2469</v>
      </c>
      <c r="L33" s="130">
        <v>3869</v>
      </c>
      <c r="M33" s="130">
        <v>4102</v>
      </c>
      <c r="N33" s="130">
        <v>4335</v>
      </c>
      <c r="O33" s="130">
        <v>4569</v>
      </c>
      <c r="P33" s="130">
        <v>4569</v>
      </c>
      <c r="Q33" s="130">
        <v>4569</v>
      </c>
    </row>
    <row r="34" spans="1:17" ht="12.75" customHeight="1" x14ac:dyDescent="0.3">
      <c r="A34" s="125"/>
      <c r="B34" s="126" t="s">
        <v>206</v>
      </c>
      <c r="C34" s="68"/>
      <c r="D34" s="129">
        <v>-1226.25</v>
      </c>
      <c r="E34" s="129">
        <v>-1157.4000000000001</v>
      </c>
      <c r="F34" s="129">
        <v>-1013.55</v>
      </c>
      <c r="G34" s="129">
        <v>-869.7</v>
      </c>
      <c r="H34" s="129">
        <v>-725.85</v>
      </c>
      <c r="I34" s="129">
        <v>-582</v>
      </c>
      <c r="J34" s="129">
        <v>-507</v>
      </c>
      <c r="K34" s="130">
        <v>-1226.25</v>
      </c>
      <c r="L34" s="130">
        <v>-1157.4000000000001</v>
      </c>
      <c r="M34" s="130">
        <v>-1013.55</v>
      </c>
      <c r="N34" s="130">
        <v>-869.7</v>
      </c>
      <c r="O34" s="130">
        <v>-725.85</v>
      </c>
      <c r="P34" s="130">
        <v>-582</v>
      </c>
      <c r="Q34" s="130">
        <v>-507</v>
      </c>
    </row>
    <row r="35" spans="1:17" ht="15" customHeight="1" x14ac:dyDescent="0.3">
      <c r="A35" s="122"/>
      <c r="B35" s="57" t="s">
        <v>43</v>
      </c>
      <c r="C35" s="54"/>
      <c r="D35" s="123">
        <v>4091.0460254999998</v>
      </c>
      <c r="E35" s="123">
        <v>3515.4468065999999</v>
      </c>
      <c r="F35" s="123">
        <v>3855.2285009759999</v>
      </c>
      <c r="G35" s="123">
        <v>4197.1597586683201</v>
      </c>
      <c r="H35" s="123">
        <v>4062.1351802327999</v>
      </c>
      <c r="I35" s="123">
        <v>4170.0226802327998</v>
      </c>
      <c r="J35" s="123">
        <v>4226.2726802327998</v>
      </c>
      <c r="K35" s="124">
        <v>1108.1925000000001</v>
      </c>
      <c r="L35" s="124">
        <v>109.829999999999</v>
      </c>
      <c r="M35" s="124">
        <v>42.9674999999988</v>
      </c>
      <c r="N35" s="124">
        <v>-31.860000000001701</v>
      </c>
      <c r="O35" s="124">
        <v>-122.01000000000199</v>
      </c>
      <c r="P35" s="124">
        <v>16.379999999998699</v>
      </c>
      <c r="Q35" s="124">
        <v>72.629999999998702</v>
      </c>
    </row>
    <row r="36" spans="1:17" ht="15" customHeight="1" x14ac:dyDescent="0.3">
      <c r="A36" s="122"/>
      <c r="B36" s="57" t="s">
        <v>44</v>
      </c>
      <c r="C36" s="54"/>
      <c r="D36" s="123">
        <v>6560.0460254999998</v>
      </c>
      <c r="E36" s="123">
        <v>7384.4468065999999</v>
      </c>
      <c r="F36" s="123">
        <v>7957.2285009759999</v>
      </c>
      <c r="G36" s="123">
        <v>8532.1597586683201</v>
      </c>
      <c r="H36" s="123">
        <v>8631.1351802328008</v>
      </c>
      <c r="I36" s="123">
        <v>8739.0226802327998</v>
      </c>
      <c r="J36" s="123">
        <v>8795.2726802327998</v>
      </c>
      <c r="K36" s="124">
        <v>3577.1925000000001</v>
      </c>
      <c r="L36" s="124">
        <v>3978.83</v>
      </c>
      <c r="M36" s="124">
        <v>4144.9674999999997</v>
      </c>
      <c r="N36" s="124">
        <v>4303.1400000000003</v>
      </c>
      <c r="O36" s="124">
        <v>4446.99</v>
      </c>
      <c r="P36" s="124">
        <v>4585.38</v>
      </c>
      <c r="Q36" s="124">
        <v>4641.63</v>
      </c>
    </row>
    <row r="37" spans="1:17" ht="12.75" customHeight="1" x14ac:dyDescent="0.3">
      <c r="A37" s="125"/>
      <c r="B37" s="126" t="s">
        <v>207</v>
      </c>
      <c r="C37" s="68"/>
      <c r="D37" s="131">
        <v>251</v>
      </c>
      <c r="E37" s="131">
        <v>251</v>
      </c>
      <c r="F37" s="131">
        <v>251</v>
      </c>
      <c r="G37" s="131">
        <v>251</v>
      </c>
      <c r="H37" s="131">
        <v>251</v>
      </c>
      <c r="I37" s="131">
        <v>251</v>
      </c>
      <c r="J37" s="131">
        <v>251</v>
      </c>
      <c r="K37" s="132">
        <v>265</v>
      </c>
      <c r="L37" s="132">
        <v>265</v>
      </c>
      <c r="M37" s="132">
        <v>265</v>
      </c>
      <c r="N37" s="132">
        <v>265</v>
      </c>
      <c r="O37" s="132">
        <v>260</v>
      </c>
      <c r="P37" s="132">
        <v>255</v>
      </c>
      <c r="Q37" s="132">
        <v>250</v>
      </c>
    </row>
    <row r="38" spans="1:17" ht="12.75" customHeight="1" x14ac:dyDescent="0.3">
      <c r="A38" s="125"/>
      <c r="B38" s="126" t="s">
        <v>208</v>
      </c>
      <c r="C38" s="68"/>
      <c r="D38" s="129">
        <v>4091.31271232877</v>
      </c>
      <c r="E38" s="129">
        <v>1511.81563561644</v>
      </c>
      <c r="F38" s="129">
        <v>1269.9251339178099</v>
      </c>
      <c r="G38" s="129">
        <v>1320.72213927451</v>
      </c>
      <c r="H38" s="129">
        <v>0</v>
      </c>
      <c r="I38" s="129">
        <v>0</v>
      </c>
      <c r="J38" s="129">
        <v>0</v>
      </c>
      <c r="K38" s="130">
        <v>5151.8630136986303</v>
      </c>
      <c r="L38" s="130">
        <v>0</v>
      </c>
      <c r="M38" s="130">
        <v>0</v>
      </c>
      <c r="N38" s="130">
        <v>0</v>
      </c>
      <c r="O38" s="130">
        <v>-590.50684931506805</v>
      </c>
      <c r="P38" s="130">
        <v>-590.50684931506805</v>
      </c>
      <c r="Q38" s="130">
        <v>-590.50684931506805</v>
      </c>
    </row>
    <row r="39" spans="1:17" ht="15" customHeight="1" x14ac:dyDescent="0.3">
      <c r="A39" s="122"/>
      <c r="B39" s="57" t="s">
        <v>209</v>
      </c>
      <c r="C39" s="54"/>
      <c r="D39" s="123">
        <v>2468.7333131712298</v>
      </c>
      <c r="E39" s="123">
        <v>5872.63117098357</v>
      </c>
      <c r="F39" s="123">
        <v>6687.3033670581899</v>
      </c>
      <c r="G39" s="123">
        <v>7211.4376193938097</v>
      </c>
      <c r="H39" s="123">
        <v>8631.1351802328008</v>
      </c>
      <c r="I39" s="123">
        <v>8739.0226802327998</v>
      </c>
      <c r="J39" s="123">
        <v>8795.2726802327998</v>
      </c>
      <c r="K39" s="124">
        <v>-1574.67051369863</v>
      </c>
      <c r="L39" s="124">
        <v>3978.83</v>
      </c>
      <c r="M39" s="124">
        <v>4144.9674999999997</v>
      </c>
      <c r="N39" s="124">
        <v>4303.1400000000003</v>
      </c>
      <c r="O39" s="124">
        <v>5037.49684931507</v>
      </c>
      <c r="P39" s="124">
        <v>5175.8868493150703</v>
      </c>
      <c r="Q39" s="124">
        <v>5232.1368493150703</v>
      </c>
    </row>
    <row r="40" spans="1:17" ht="12.75" customHeight="1" x14ac:dyDescent="0.3">
      <c r="A40" s="125"/>
      <c r="B40" s="126" t="s">
        <v>210</v>
      </c>
      <c r="C40" s="68"/>
      <c r="D40" s="129">
        <v>700</v>
      </c>
      <c r="E40" s="129">
        <v>700</v>
      </c>
      <c r="F40" s="129">
        <v>700</v>
      </c>
      <c r="G40" s="129">
        <v>700</v>
      </c>
      <c r="H40" s="129">
        <v>700</v>
      </c>
      <c r="I40" s="129">
        <v>700</v>
      </c>
      <c r="J40" s="129">
        <v>700</v>
      </c>
      <c r="K40" s="130">
        <v>700</v>
      </c>
      <c r="L40" s="130">
        <v>700</v>
      </c>
      <c r="M40" s="130">
        <v>700</v>
      </c>
      <c r="N40" s="130">
        <v>700</v>
      </c>
      <c r="O40" s="130">
        <v>700</v>
      </c>
      <c r="P40" s="130">
        <v>700</v>
      </c>
      <c r="Q40" s="130">
        <v>700</v>
      </c>
    </row>
    <row r="41" spans="1:17" ht="15" customHeight="1" x14ac:dyDescent="0.3">
      <c r="A41" s="122"/>
      <c r="B41" s="57" t="s">
        <v>58</v>
      </c>
      <c r="C41" s="54"/>
      <c r="D41" s="123">
        <v>1768.7333131712301</v>
      </c>
      <c r="E41" s="123">
        <v>5172.63117098357</v>
      </c>
      <c r="F41" s="123">
        <v>5987.3033670581899</v>
      </c>
      <c r="G41" s="123">
        <v>6511.4376193938097</v>
      </c>
      <c r="H41" s="123">
        <v>7931.1351802327999</v>
      </c>
      <c r="I41" s="123">
        <v>8039.0226802327998</v>
      </c>
      <c r="J41" s="123">
        <v>8095.2726802327998</v>
      </c>
      <c r="K41" s="124">
        <v>-2274.6705136986302</v>
      </c>
      <c r="L41" s="124">
        <v>3278.83</v>
      </c>
      <c r="M41" s="124">
        <v>3444.9675000000002</v>
      </c>
      <c r="N41" s="124">
        <v>3603.14</v>
      </c>
      <c r="O41" s="124">
        <v>4337.49684931507</v>
      </c>
      <c r="P41" s="124">
        <v>4475.8868493150703</v>
      </c>
      <c r="Q41" s="124">
        <v>4532.1368493150703</v>
      </c>
    </row>
    <row r="42" spans="1:17" ht="15" customHeight="1" x14ac:dyDescent="0.3">
      <c r="A42" s="122"/>
      <c r="B42" s="57" t="s">
        <v>211</v>
      </c>
      <c r="C42" s="54"/>
      <c r="D42" s="123">
        <v>1637.25</v>
      </c>
      <c r="E42" s="123">
        <v>2568.4</v>
      </c>
      <c r="F42" s="123">
        <v>2424.5500000000002</v>
      </c>
      <c r="G42" s="123">
        <v>2280.6999999999998</v>
      </c>
      <c r="H42" s="123">
        <v>2136.85</v>
      </c>
      <c r="I42" s="123">
        <v>1993</v>
      </c>
      <c r="J42" s="123">
        <v>1918</v>
      </c>
      <c r="K42" s="124">
        <v>1637.25</v>
      </c>
      <c r="L42" s="124">
        <v>2568.4</v>
      </c>
      <c r="M42" s="124">
        <v>2424.5500000000002</v>
      </c>
      <c r="N42" s="124">
        <v>2280.6999999999998</v>
      </c>
      <c r="O42" s="124">
        <v>2136.85</v>
      </c>
      <c r="P42" s="124">
        <v>1993</v>
      </c>
      <c r="Q42" s="124">
        <v>1918</v>
      </c>
    </row>
    <row r="43" spans="1:17" ht="15" customHeight="1" x14ac:dyDescent="0.3">
      <c r="A43" s="122"/>
      <c r="B43" s="57" t="s">
        <v>212</v>
      </c>
      <c r="C43" s="54"/>
      <c r="D43" s="123">
        <v>131.483313171231</v>
      </c>
      <c r="E43" s="123">
        <v>2604.2311709835699</v>
      </c>
      <c r="F43" s="123">
        <v>3562.7533670581902</v>
      </c>
      <c r="G43" s="123">
        <v>4230.7376193938098</v>
      </c>
      <c r="H43" s="123">
        <v>5794.2851802327996</v>
      </c>
      <c r="I43" s="123">
        <v>6046.0226802327998</v>
      </c>
      <c r="J43" s="123">
        <v>6177.2726802327998</v>
      </c>
      <c r="K43" s="133">
        <v>-3911.9205136986302</v>
      </c>
      <c r="L43" s="124">
        <v>710.42999999999904</v>
      </c>
      <c r="M43" s="124">
        <v>1020.4175</v>
      </c>
      <c r="N43" s="124">
        <v>1322.44</v>
      </c>
      <c r="O43" s="124">
        <v>2200.6468493150701</v>
      </c>
      <c r="P43" s="124">
        <v>2482.8868493150699</v>
      </c>
      <c r="Q43" s="124">
        <v>2614.1368493150699</v>
      </c>
    </row>
    <row r="44" spans="1:17" ht="12.75" customHeight="1" x14ac:dyDescent="0.3">
      <c r="A44" s="125"/>
      <c r="B44" s="126" t="s">
        <v>213</v>
      </c>
      <c r="C44" s="68"/>
      <c r="D44" s="129">
        <v>-2970.5166868287702</v>
      </c>
      <c r="E44" s="129">
        <v>-366.28551584520301</v>
      </c>
      <c r="F44" s="129">
        <v>3196.4678512129899</v>
      </c>
      <c r="G44" s="129">
        <v>7427.2054706068002</v>
      </c>
      <c r="H44" s="129">
        <v>13221.4906508396</v>
      </c>
      <c r="I44" s="129">
        <v>19267.513331072401</v>
      </c>
      <c r="J44" s="129">
        <v>25444.786011305201</v>
      </c>
      <c r="K44" s="130">
        <v>-7013.9205136986302</v>
      </c>
      <c r="L44" s="130">
        <v>-6303.4905136986299</v>
      </c>
      <c r="M44" s="130">
        <v>-5283.0730136986303</v>
      </c>
      <c r="N44" s="130">
        <v>-3960.6330136986298</v>
      </c>
      <c r="O44" s="130">
        <v>-1759.98616438357</v>
      </c>
      <c r="P44" s="130">
        <v>722.90068493150102</v>
      </c>
      <c r="Q44" s="130">
        <v>3337.03753424657</v>
      </c>
    </row>
    <row r="45" spans="1:17" ht="15" customHeight="1" x14ac:dyDescent="0.3">
      <c r="A45" s="122"/>
      <c r="B45" s="57" t="s">
        <v>214</v>
      </c>
      <c r="C45" s="54"/>
      <c r="D45" s="134">
        <v>1.5078536040135799</v>
      </c>
      <c r="E45" s="134">
        <v>2.28649399275174</v>
      </c>
      <c r="F45" s="134">
        <v>2.75816269701932</v>
      </c>
      <c r="G45" s="134">
        <v>3.1619404653807202</v>
      </c>
      <c r="H45" s="134">
        <v>4.0391862696178</v>
      </c>
      <c r="I45" s="134">
        <v>4.3848583443215299</v>
      </c>
      <c r="J45" s="134">
        <v>4.58564790418811</v>
      </c>
      <c r="K45" s="135">
        <v>-0.96177768434791899</v>
      </c>
      <c r="L45" s="134">
        <v>1.5491473290764699</v>
      </c>
      <c r="M45" s="134">
        <v>1.70958219050958</v>
      </c>
      <c r="N45" s="134">
        <v>1.8867628359714099</v>
      </c>
      <c r="O45" s="134">
        <v>2.3574405547020501</v>
      </c>
      <c r="P45" s="134">
        <v>2.5970330402985802</v>
      </c>
      <c r="Q45" s="134">
        <v>2.7279128515719901</v>
      </c>
    </row>
    <row r="46" spans="1:17" ht="12.75" customHeight="1" x14ac:dyDescent="0.3">
      <c r="A46" s="125"/>
      <c r="B46" s="126" t="s">
        <v>215</v>
      </c>
      <c r="C46" s="68"/>
      <c r="D46" s="136">
        <v>4.0067466944571697</v>
      </c>
      <c r="E46" s="136">
        <v>2.8751155608939398</v>
      </c>
      <c r="F46" s="136">
        <v>3.28194036046937</v>
      </c>
      <c r="G46" s="136">
        <v>3.7410267718982402</v>
      </c>
      <c r="H46" s="136">
        <v>4.0391862696178</v>
      </c>
      <c r="I46" s="136">
        <v>4.3848583443215299</v>
      </c>
      <c r="J46" s="136">
        <v>4.58564790418811</v>
      </c>
      <c r="K46" s="137">
        <v>2.1848786074209801</v>
      </c>
      <c r="L46" s="137">
        <v>1.5491473290764699</v>
      </c>
      <c r="M46" s="137">
        <v>1.70958219050958</v>
      </c>
      <c r="N46" s="137">
        <v>1.8867628359714099</v>
      </c>
      <c r="O46" s="137">
        <v>2.0810960058029302</v>
      </c>
      <c r="P46" s="137">
        <v>2.3007425990968402</v>
      </c>
      <c r="Q46" s="137">
        <v>2.42003649635036</v>
      </c>
    </row>
    <row r="48" spans="1:17" ht="15.75" customHeight="1" x14ac:dyDescent="0.3">
      <c r="A48" s="1" t="s">
        <v>216</v>
      </c>
      <c r="B48" s="1"/>
      <c r="C48" s="1"/>
      <c r="D48" s="1"/>
      <c r="E48" s="1"/>
      <c r="F48" s="1"/>
      <c r="G48" s="1"/>
      <c r="H48" s="1"/>
      <c r="I48" s="1"/>
      <c r="J48" s="1"/>
      <c r="K48" s="1"/>
      <c r="L48" s="1"/>
      <c r="M48" s="1"/>
      <c r="N48" s="1"/>
    </row>
    <row r="49" spans="1:17" ht="60" customHeight="1" x14ac:dyDescent="0.3">
      <c r="A49" s="138" t="s">
        <v>217</v>
      </c>
      <c r="B49" s="139" t="s">
        <v>218</v>
      </c>
      <c r="C49" s="219" t="s">
        <v>219</v>
      </c>
      <c r="D49" s="219"/>
      <c r="E49" s="219"/>
      <c r="F49" s="219"/>
      <c r="G49" s="219"/>
      <c r="H49" s="219"/>
      <c r="I49" s="219"/>
      <c r="J49" s="219"/>
      <c r="K49" s="219"/>
      <c r="L49" s="219"/>
      <c r="M49" s="219"/>
      <c r="N49" s="219"/>
      <c r="O49" s="219"/>
      <c r="P49" s="219"/>
      <c r="Q49" s="219"/>
    </row>
    <row r="50" spans="1:17" ht="60" customHeight="1" x14ac:dyDescent="0.3">
      <c r="A50" s="140" t="s">
        <v>181</v>
      </c>
      <c r="B50" s="141" t="s">
        <v>220</v>
      </c>
      <c r="C50" s="220" t="s">
        <v>221</v>
      </c>
      <c r="D50" s="220"/>
      <c r="E50" s="220"/>
      <c r="F50" s="220"/>
      <c r="G50" s="220"/>
      <c r="H50" s="220"/>
      <c r="I50" s="220"/>
      <c r="J50" s="220"/>
      <c r="K50" s="220"/>
      <c r="L50" s="220"/>
      <c r="M50" s="220"/>
      <c r="N50" s="220"/>
      <c r="O50" s="220"/>
      <c r="P50" s="220"/>
      <c r="Q50" s="220"/>
    </row>
    <row r="51" spans="1:17" ht="60" customHeight="1" x14ac:dyDescent="0.3">
      <c r="A51" s="142" t="s">
        <v>222</v>
      </c>
      <c r="B51" s="143" t="s">
        <v>223</v>
      </c>
      <c r="C51" s="221" t="s">
        <v>224</v>
      </c>
      <c r="D51" s="221"/>
      <c r="E51" s="221"/>
      <c r="F51" s="221"/>
      <c r="G51" s="221"/>
      <c r="H51" s="221"/>
      <c r="I51" s="221"/>
      <c r="J51" s="221"/>
      <c r="K51" s="221"/>
      <c r="L51" s="221"/>
      <c r="M51" s="221"/>
      <c r="N51" s="221"/>
      <c r="O51" s="221"/>
      <c r="P51" s="221"/>
      <c r="Q51" s="221"/>
    </row>
    <row r="52" spans="1:17" ht="15.75" customHeight="1" x14ac:dyDescent="0.3">
      <c r="A52" s="216" t="s">
        <v>225</v>
      </c>
      <c r="B52" s="216"/>
      <c r="C52" s="216"/>
      <c r="D52" s="216"/>
      <c r="E52" s="216"/>
      <c r="F52" s="216"/>
      <c r="G52" s="216"/>
      <c r="H52" s="216"/>
      <c r="I52" s="216"/>
      <c r="J52" s="216"/>
      <c r="K52" s="216"/>
      <c r="L52" s="216"/>
      <c r="M52" s="216"/>
      <c r="N52" s="216"/>
      <c r="O52" s="216"/>
      <c r="P52" s="216"/>
      <c r="Q52" s="216"/>
    </row>
  </sheetData>
  <mergeCells count="18">
    <mergeCell ref="C50:Q50"/>
    <mergeCell ref="C51:Q51"/>
    <mergeCell ref="A52:Q52"/>
    <mergeCell ref="D12:Q12"/>
    <mergeCell ref="A14:N14"/>
    <mergeCell ref="A27:N27"/>
    <mergeCell ref="A48:N48"/>
    <mergeCell ref="C49:Q49"/>
    <mergeCell ref="D7:Q7"/>
    <mergeCell ref="D8:Q8"/>
    <mergeCell ref="D9:Q9"/>
    <mergeCell ref="D10:Q10"/>
    <mergeCell ref="D11:Q11"/>
    <mergeCell ref="A1:Q1"/>
    <mergeCell ref="A2:Q2"/>
    <mergeCell ref="A4:N4"/>
    <mergeCell ref="D5:Q5"/>
    <mergeCell ref="D6:Q6"/>
  </mergeCells>
  <pageMargins left="0.35" right="0.35" top="0.45" bottom="0.4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7"/>
  <sheetViews>
    <sheetView showGridLines="0" zoomScaleNormal="100" workbookViewId="0">
      <pane xSplit="2" ySplit="11" topLeftCell="C12" activePane="bottomRight" state="frozen"/>
      <selection pane="topRight" activeCell="C1" sqref="C1"/>
      <selection pane="bottomLeft" activeCell="A12" sqref="A12"/>
      <selection pane="bottomRight" activeCell="E61" sqref="E61"/>
    </sheetView>
  </sheetViews>
  <sheetFormatPr baseColWidth="10" defaultColWidth="8.6640625" defaultRowHeight="14.4" x14ac:dyDescent="0.3"/>
  <cols>
    <col min="1" max="1" width="14.88671875" customWidth="1"/>
    <col min="2" max="2" width="46" customWidth="1"/>
    <col min="3" max="9" width="13" customWidth="1"/>
    <col min="10" max="10" width="14" customWidth="1"/>
    <col min="11" max="11" width="28" customWidth="1"/>
  </cols>
  <sheetData>
    <row r="1" spans="1:11" ht="18" customHeight="1" x14ac:dyDescent="0.3">
      <c r="A1" s="7" t="s">
        <v>226</v>
      </c>
      <c r="B1" s="7"/>
      <c r="C1" s="7"/>
      <c r="D1" s="7"/>
      <c r="E1" s="7"/>
      <c r="F1" s="7"/>
      <c r="G1" s="7"/>
      <c r="H1" s="7"/>
      <c r="I1" s="7"/>
      <c r="J1" s="7"/>
      <c r="K1" s="7"/>
    </row>
    <row r="2" spans="1:11" ht="12.75" customHeight="1" x14ac:dyDescent="0.3">
      <c r="A2" s="14" t="s">
        <v>227</v>
      </c>
      <c r="B2" s="14"/>
      <c r="C2" s="14"/>
      <c r="D2" s="14"/>
      <c r="E2" s="14"/>
      <c r="F2" s="14"/>
      <c r="G2" s="14"/>
      <c r="H2" s="14"/>
      <c r="I2" s="14"/>
      <c r="J2" s="14"/>
      <c r="K2" s="14"/>
    </row>
    <row r="3" spans="1:11" ht="12.75" customHeight="1" x14ac:dyDescent="0.3">
      <c r="A3" s="10" t="s">
        <v>228</v>
      </c>
      <c r="B3" s="10"/>
      <c r="C3" s="10"/>
      <c r="D3" s="10"/>
      <c r="E3" s="10"/>
      <c r="F3" s="10"/>
      <c r="G3" s="10"/>
      <c r="H3" s="10"/>
      <c r="I3" s="10"/>
      <c r="J3" s="10"/>
      <c r="K3" s="10"/>
    </row>
    <row r="4" spans="1:11" ht="12.75" customHeight="1" x14ac:dyDescent="0.3">
      <c r="A4" s="9" t="s">
        <v>229</v>
      </c>
      <c r="B4" s="9"/>
      <c r="C4" s="9"/>
      <c r="D4" s="9"/>
      <c r="E4" s="9"/>
      <c r="F4" s="9"/>
      <c r="G4" s="9"/>
      <c r="H4" s="9"/>
      <c r="I4" s="9"/>
      <c r="J4" s="9"/>
      <c r="K4" s="9"/>
    </row>
    <row r="5" spans="1:11" ht="12.75" customHeight="1" x14ac:dyDescent="0.3">
      <c r="A5" s="11" t="s">
        <v>230</v>
      </c>
      <c r="B5" s="11"/>
      <c r="C5" s="11"/>
      <c r="D5" s="11"/>
      <c r="E5" s="11"/>
      <c r="F5" s="11"/>
      <c r="G5" s="11"/>
      <c r="H5" s="11"/>
      <c r="I5" s="11"/>
      <c r="J5" s="11"/>
      <c r="K5" s="11"/>
    </row>
    <row r="6" spans="1:11" ht="12.75" customHeight="1" x14ac:dyDescent="0.3">
      <c r="A6" s="8" t="s">
        <v>231</v>
      </c>
      <c r="B6" s="8"/>
      <c r="C6" s="8"/>
      <c r="D6" s="8"/>
      <c r="E6" s="8"/>
      <c r="F6" s="8"/>
      <c r="G6" s="8"/>
      <c r="H6" s="8"/>
      <c r="I6" s="8"/>
      <c r="J6" s="8"/>
      <c r="K6" s="8"/>
    </row>
    <row r="7" spans="1:11" ht="12.75" customHeight="1" x14ac:dyDescent="0.3">
      <c r="A7" s="222" t="s">
        <v>232</v>
      </c>
      <c r="B7" s="222"/>
      <c r="C7" s="222"/>
      <c r="D7" s="222"/>
      <c r="E7" s="222"/>
      <c r="F7" s="222"/>
      <c r="G7" s="222"/>
      <c r="H7" s="222"/>
      <c r="I7" s="222"/>
      <c r="J7" s="222"/>
      <c r="K7" s="222"/>
    </row>
    <row r="9" spans="1:11" ht="15.75" customHeight="1" x14ac:dyDescent="0.3">
      <c r="A9" s="16"/>
      <c r="B9" s="17" t="s">
        <v>7</v>
      </c>
      <c r="C9" s="18" t="s">
        <v>8</v>
      </c>
      <c r="D9" s="18" t="s">
        <v>9</v>
      </c>
      <c r="E9" s="19" t="s">
        <v>10</v>
      </c>
      <c r="F9" s="19" t="s">
        <v>11</v>
      </c>
      <c r="G9" s="19" t="s">
        <v>12</v>
      </c>
      <c r="H9" s="19" t="s">
        <v>13</v>
      </c>
      <c r="I9" s="19" t="s">
        <v>14</v>
      </c>
      <c r="J9" s="20" t="s">
        <v>233</v>
      </c>
      <c r="K9" s="144" t="s">
        <v>234</v>
      </c>
    </row>
    <row r="10" spans="1:11" ht="12" customHeight="1" x14ac:dyDescent="0.3">
      <c r="A10" s="16"/>
      <c r="B10" s="16"/>
      <c r="C10" s="21" t="s">
        <v>16</v>
      </c>
      <c r="D10" s="21" t="s">
        <v>16</v>
      </c>
      <c r="E10" s="21" t="s">
        <v>18</v>
      </c>
      <c r="F10" s="21" t="s">
        <v>18</v>
      </c>
      <c r="G10" s="21" t="s">
        <v>18</v>
      </c>
      <c r="H10" s="21" t="s">
        <v>18</v>
      </c>
      <c r="I10" s="21" t="s">
        <v>18</v>
      </c>
      <c r="J10" s="16"/>
      <c r="K10" s="145"/>
    </row>
    <row r="11" spans="1:11" ht="15" customHeight="1" x14ac:dyDescent="0.3">
      <c r="A11" s="7" t="s">
        <v>235</v>
      </c>
      <c r="B11" s="7"/>
      <c r="C11" s="7"/>
      <c r="D11" s="7"/>
      <c r="E11" s="7"/>
      <c r="F11" s="7"/>
      <c r="G11" s="7"/>
      <c r="H11" s="7"/>
      <c r="I11" s="7"/>
      <c r="J11" s="7"/>
      <c r="K11" s="7"/>
    </row>
    <row r="12" spans="1:11" ht="13.5" customHeight="1" x14ac:dyDescent="0.3">
      <c r="A12" s="16"/>
      <c r="B12" s="45" t="s">
        <v>236</v>
      </c>
      <c r="C12" s="24" t="s">
        <v>21</v>
      </c>
      <c r="D12" s="29">
        <f>(Hypothèses!B9-Hypothèses!B8)/Hypothèses!B8</f>
        <v>0.11047148885533765</v>
      </c>
      <c r="E12" s="46">
        <f>Hypothèses!B10</f>
        <v>0.08</v>
      </c>
      <c r="F12" s="46">
        <f>Hypothèses!B11</f>
        <v>7.0000000000000007E-2</v>
      </c>
      <c r="G12" s="46">
        <f>Hypothèses!B12</f>
        <v>0.05</v>
      </c>
      <c r="H12" s="46">
        <f>Hypothèses!B12</f>
        <v>0.05</v>
      </c>
      <c r="I12" s="46">
        <f>Hypothèses!B12</f>
        <v>0.05</v>
      </c>
      <c r="J12" s="16" t="s">
        <v>21</v>
      </c>
      <c r="K12" s="146" t="s">
        <v>237</v>
      </c>
    </row>
    <row r="13" spans="1:11" ht="15" customHeight="1" x14ac:dyDescent="0.3">
      <c r="A13" s="24"/>
      <c r="B13" s="26" t="s">
        <v>22</v>
      </c>
      <c r="C13" s="27">
        <f>'Modèle Original'!C13</f>
        <v>38818.224000000002</v>
      </c>
      <c r="D13" s="27">
        <f>'Modèle Original'!D13</f>
        <v>43106.531000000003</v>
      </c>
      <c r="E13" s="147">
        <f>D13*(1+E12)</f>
        <v>46555.05348000001</v>
      </c>
      <c r="F13" s="147">
        <f>E13*(1+F12)</f>
        <v>49813.907223600014</v>
      </c>
      <c r="G13" s="147">
        <f>F13*(1+G12)</f>
        <v>52304.602584780019</v>
      </c>
      <c r="H13" s="147">
        <f>G13*(1+H12)</f>
        <v>54919.832714019023</v>
      </c>
      <c r="I13" s="147">
        <f>H13*(1+I12)</f>
        <v>57665.82434971998</v>
      </c>
      <c r="J13" s="28">
        <f>SUM(E13:I13)</f>
        <v>261259.22035211904</v>
      </c>
      <c r="K13" s="148"/>
    </row>
    <row r="14" spans="1:11" ht="13.5" customHeight="1" x14ac:dyDescent="0.3">
      <c r="A14" s="16"/>
      <c r="B14" s="149" t="s">
        <v>238</v>
      </c>
      <c r="C14" s="29">
        <f>'Modèle Original'!C14</f>
        <v>0.62580000000000002</v>
      </c>
      <c r="D14" s="29">
        <f>'Modèle Original'!D14</f>
        <v>0.63</v>
      </c>
      <c r="E14" s="46">
        <f>Hypothèses!B15</f>
        <v>0.63</v>
      </c>
      <c r="F14" s="46">
        <f>Hypothèses!B15</f>
        <v>0.63</v>
      </c>
      <c r="G14" s="46">
        <f>Hypothèses!B15</f>
        <v>0.63</v>
      </c>
      <c r="H14" s="46">
        <f>Hypothèses!B15</f>
        <v>0.63</v>
      </c>
      <c r="I14" s="46">
        <f>Hypothèses!B15</f>
        <v>0.63</v>
      </c>
      <c r="J14" s="16" t="s">
        <v>21</v>
      </c>
      <c r="K14" s="150" t="s">
        <v>239</v>
      </c>
    </row>
    <row r="15" spans="1:11" ht="13.5" customHeight="1" x14ac:dyDescent="0.3">
      <c r="A15" s="24"/>
      <c r="B15" s="30" t="s">
        <v>24</v>
      </c>
      <c r="C15" s="31">
        <f t="shared" ref="C15:I15" si="0">C13*C14</f>
        <v>24292.444579200001</v>
      </c>
      <c r="D15" s="31">
        <f t="shared" si="0"/>
        <v>27157.114530000003</v>
      </c>
      <c r="E15" s="31">
        <f t="shared" si="0"/>
        <v>29329.683692400005</v>
      </c>
      <c r="F15" s="31">
        <f t="shared" si="0"/>
        <v>31382.76155086801</v>
      </c>
      <c r="G15" s="31">
        <f t="shared" si="0"/>
        <v>32951.899628411411</v>
      </c>
      <c r="H15" s="31">
        <f t="shared" si="0"/>
        <v>34599.494609831985</v>
      </c>
      <c r="I15" s="31">
        <f t="shared" si="0"/>
        <v>36329.469340323587</v>
      </c>
      <c r="J15" s="32">
        <f>SUM(E15:I15)</f>
        <v>164593.308821835</v>
      </c>
      <c r="K15" s="148"/>
    </row>
    <row r="16" spans="1:11" ht="13.5" customHeight="1" x14ac:dyDescent="0.3">
      <c r="A16" s="16"/>
      <c r="B16" s="45" t="s">
        <v>240</v>
      </c>
      <c r="C16" s="46">
        <f>Hypothèses!B16</f>
        <v>0.1215</v>
      </c>
      <c r="D16" s="46">
        <f>Hypothèses!B16</f>
        <v>0.1215</v>
      </c>
      <c r="E16" s="46">
        <f>Hypothèses!B16</f>
        <v>0.1215</v>
      </c>
      <c r="F16" s="46">
        <f>Hypothèses!B16</f>
        <v>0.1215</v>
      </c>
      <c r="G16" s="46">
        <f>Hypothèses!B16</f>
        <v>0.1215</v>
      </c>
      <c r="H16" s="46">
        <f>Hypothèses!B16</f>
        <v>0.1215</v>
      </c>
      <c r="I16" s="46">
        <f>Hypothèses!B16</f>
        <v>0.1215</v>
      </c>
      <c r="J16" s="16" t="s">
        <v>21</v>
      </c>
      <c r="K16" s="146" t="s">
        <v>241</v>
      </c>
    </row>
    <row r="17" spans="1:11" ht="13.5" customHeight="1" x14ac:dyDescent="0.3">
      <c r="A17" s="24"/>
      <c r="B17" s="30" t="s">
        <v>26</v>
      </c>
      <c r="C17" s="31">
        <f t="shared" ref="C17:I17" si="1">C13*C16</f>
        <v>4716.4142160000001</v>
      </c>
      <c r="D17" s="31">
        <f t="shared" si="1"/>
        <v>5237.4435165000004</v>
      </c>
      <c r="E17" s="31">
        <f t="shared" si="1"/>
        <v>5656.4389978200006</v>
      </c>
      <c r="F17" s="31">
        <f t="shared" si="1"/>
        <v>6052.3897276674015</v>
      </c>
      <c r="G17" s="31">
        <f t="shared" si="1"/>
        <v>6355.0092140507722</v>
      </c>
      <c r="H17" s="31">
        <f t="shared" si="1"/>
        <v>6672.7596747533107</v>
      </c>
      <c r="I17" s="31">
        <f t="shared" si="1"/>
        <v>7006.3976584909778</v>
      </c>
      <c r="J17" s="32">
        <f>SUM(E17:I17)</f>
        <v>31742.995272782464</v>
      </c>
      <c r="K17" s="148"/>
    </row>
    <row r="18" spans="1:11" ht="13.5" customHeight="1" x14ac:dyDescent="0.3">
      <c r="A18" s="16"/>
      <c r="B18" s="45" t="s">
        <v>27</v>
      </c>
      <c r="C18" s="46">
        <f>Hypothèses!B17</f>
        <v>7.2499999999999995E-2</v>
      </c>
      <c r="D18" s="46">
        <f>Hypothèses!B17</f>
        <v>7.2499999999999995E-2</v>
      </c>
      <c r="E18" s="46">
        <f>Hypothèses!B17</f>
        <v>7.2499999999999995E-2</v>
      </c>
      <c r="F18" s="46">
        <f>Hypothèses!B17</f>
        <v>7.2499999999999995E-2</v>
      </c>
      <c r="G18" s="46">
        <f>Hypothèses!B17</f>
        <v>7.2499999999999995E-2</v>
      </c>
      <c r="H18" s="46">
        <f>Hypothèses!B17</f>
        <v>7.2499999999999995E-2</v>
      </c>
      <c r="I18" s="46">
        <f>Hypothèses!B17</f>
        <v>7.2499999999999995E-2</v>
      </c>
      <c r="J18" s="16" t="s">
        <v>21</v>
      </c>
      <c r="K18" s="146" t="s">
        <v>242</v>
      </c>
    </row>
    <row r="19" spans="1:11" ht="13.5" customHeight="1" x14ac:dyDescent="0.3">
      <c r="A19" s="24"/>
      <c r="B19" s="30" t="s">
        <v>28</v>
      </c>
      <c r="C19" s="31">
        <f t="shared" ref="C19:I19" si="2">C13*C18</f>
        <v>2814.3212399999998</v>
      </c>
      <c r="D19" s="31">
        <f t="shared" si="2"/>
        <v>3125.2234975000001</v>
      </c>
      <c r="E19" s="31">
        <f t="shared" si="2"/>
        <v>3375.2413773000003</v>
      </c>
      <c r="F19" s="31">
        <f t="shared" si="2"/>
        <v>3611.5082737110006</v>
      </c>
      <c r="G19" s="31">
        <f t="shared" si="2"/>
        <v>3792.0836873965513</v>
      </c>
      <c r="H19" s="31">
        <f t="shared" si="2"/>
        <v>3981.687871766379</v>
      </c>
      <c r="I19" s="31">
        <f t="shared" si="2"/>
        <v>4180.772265354698</v>
      </c>
      <c r="J19" s="32">
        <f>SUM(E19:I19)</f>
        <v>18941.29347552863</v>
      </c>
      <c r="K19" s="148"/>
    </row>
    <row r="20" spans="1:11" ht="13.5" customHeight="1" x14ac:dyDescent="0.3">
      <c r="A20" s="16"/>
      <c r="B20" s="33" t="s">
        <v>243</v>
      </c>
      <c r="C20" s="34" t="s">
        <v>244</v>
      </c>
      <c r="D20" s="34" t="s">
        <v>244</v>
      </c>
      <c r="E20" s="34" t="s">
        <v>244</v>
      </c>
      <c r="F20" s="34" t="s">
        <v>244</v>
      </c>
      <c r="G20" s="34" t="s">
        <v>244</v>
      </c>
      <c r="H20" s="34" t="s">
        <v>244</v>
      </c>
      <c r="I20" s="34" t="s">
        <v>244</v>
      </c>
      <c r="J20" s="16" t="s">
        <v>21</v>
      </c>
      <c r="K20" s="148"/>
    </row>
    <row r="21" spans="1:11" ht="13.5" customHeight="1" x14ac:dyDescent="0.3">
      <c r="A21" s="151"/>
      <c r="B21" s="152" t="s">
        <v>245</v>
      </c>
      <c r="C21" s="153">
        <f t="shared" ref="C21:I21" si="3">IF(C13=0,"-",(C13-C15-C17-C19+C20)/C13)</f>
        <v>0.18020000000000003</v>
      </c>
      <c r="D21" s="153">
        <f t="shared" si="3"/>
        <v>0.17599999999999999</v>
      </c>
      <c r="E21" s="153">
        <f t="shared" si="3"/>
        <v>0.17600000000000002</v>
      </c>
      <c r="F21" s="153">
        <f t="shared" si="3"/>
        <v>0.17599999999999999</v>
      </c>
      <c r="G21" s="153">
        <f t="shared" si="3"/>
        <v>0.17600000000000002</v>
      </c>
      <c r="H21" s="153">
        <f t="shared" si="3"/>
        <v>0.17600000000000002</v>
      </c>
      <c r="I21" s="153">
        <f t="shared" si="3"/>
        <v>0.17600000000000002</v>
      </c>
      <c r="J21" s="16" t="s">
        <v>21</v>
      </c>
      <c r="K21" s="150" t="s">
        <v>246</v>
      </c>
    </row>
    <row r="22" spans="1:11" ht="15" customHeight="1" x14ac:dyDescent="0.3">
      <c r="A22" s="151"/>
      <c r="B22" s="154" t="s">
        <v>31</v>
      </c>
      <c r="C22" s="147">
        <f t="shared" ref="C22:I22" si="4">C13-C15-C17-C19+C20</f>
        <v>6995.043964800001</v>
      </c>
      <c r="D22" s="147">
        <f t="shared" si="4"/>
        <v>7586.7494560000005</v>
      </c>
      <c r="E22" s="147">
        <f t="shared" si="4"/>
        <v>8193.6894124800019</v>
      </c>
      <c r="F22" s="147">
        <f t="shared" si="4"/>
        <v>8767.2476713536016</v>
      </c>
      <c r="G22" s="147">
        <f t="shared" si="4"/>
        <v>9205.6100549212842</v>
      </c>
      <c r="H22" s="147">
        <f t="shared" si="4"/>
        <v>9665.8905576673496</v>
      </c>
      <c r="I22" s="147">
        <f t="shared" si="4"/>
        <v>10149.185085550718</v>
      </c>
      <c r="J22" s="28">
        <f>SUM(E22:I22)</f>
        <v>45981.622781972954</v>
      </c>
      <c r="K22" s="148"/>
    </row>
    <row r="23" spans="1:11" ht="15" customHeight="1" x14ac:dyDescent="0.3">
      <c r="A23" s="6" t="s">
        <v>247</v>
      </c>
      <c r="B23" s="6"/>
      <c r="C23" s="6"/>
      <c r="D23" s="6"/>
      <c r="E23" s="6"/>
      <c r="F23" s="6"/>
      <c r="G23" s="6"/>
      <c r="H23" s="6"/>
      <c r="I23" s="6"/>
      <c r="J23" s="6"/>
      <c r="K23" s="6"/>
    </row>
    <row r="24" spans="1:11" ht="13.5" customHeight="1" x14ac:dyDescent="0.3">
      <c r="A24" s="24"/>
      <c r="B24" s="35" t="s">
        <v>248</v>
      </c>
      <c r="C24" s="31">
        <f>Hypothèses!B20</f>
        <v>2368</v>
      </c>
      <c r="D24" s="31">
        <f>Hypothèses!B20</f>
        <v>2368</v>
      </c>
      <c r="E24" s="31">
        <f>Hypothèses!B20</f>
        <v>2368</v>
      </c>
      <c r="F24" s="31">
        <f>Hypothèses!B20</f>
        <v>2368</v>
      </c>
      <c r="G24" s="31">
        <f>Hypothèses!B20</f>
        <v>2368</v>
      </c>
      <c r="H24" s="31">
        <f>Hypothèses!B20</f>
        <v>2368</v>
      </c>
      <c r="I24" s="31">
        <f>Hypothèses!B20</f>
        <v>2368</v>
      </c>
      <c r="J24" s="16" t="s">
        <v>21</v>
      </c>
      <c r="K24" s="146" t="s">
        <v>249</v>
      </c>
    </row>
    <row r="25" spans="1:11" ht="13.5" customHeight="1" x14ac:dyDescent="0.3">
      <c r="A25" s="155"/>
      <c r="B25" s="156" t="s">
        <v>250</v>
      </c>
      <c r="C25" s="31" t="s">
        <v>244</v>
      </c>
      <c r="D25" s="31" t="s">
        <v>244</v>
      </c>
      <c r="E25" s="47">
        <f>IFERROR(Hypothèses!B39/Hypothèses!C39,0)+IFERROR(Hypothèses!B40/Hypothèses!C40,0)+IFERROR(Hypothèses!B41/Hypothèses!C41,0)</f>
        <v>37.572000000000003</v>
      </c>
      <c r="F25" s="47">
        <f>IFERROR(Hypothèses!B39/Hypothèses!C39,0)+IFERROR(Hypothèses!B40/Hypothèses!C40,0)+IFERROR(Hypothèses!B41/Hypothèses!C41,0)</f>
        <v>37.572000000000003</v>
      </c>
      <c r="G25" s="47">
        <f>IFERROR(Hypothèses!B39/Hypothèses!C39,0)+IFERROR(Hypothèses!B40/Hypothèses!C40,0)+IFERROR(Hypothèses!B41/Hypothèses!C41,0)</f>
        <v>37.572000000000003</v>
      </c>
      <c r="H25" s="47">
        <f>IFERROR(Hypothèses!B39/Hypothèses!C39,0)+IFERROR(Hypothèses!B40/Hypothèses!C40,0)+IFERROR(Hypothèses!B41/Hypothèses!C41,0)</f>
        <v>37.572000000000003</v>
      </c>
      <c r="I25" s="47">
        <f>IFERROR(Hypothèses!B39/Hypothèses!C39,0)+IFERROR(Hypothèses!B40/Hypothèses!C40,0)+IFERROR(Hypothèses!B41/Hypothèses!C41,0)</f>
        <v>37.572000000000003</v>
      </c>
      <c r="J25" s="16" t="s">
        <v>21</v>
      </c>
      <c r="K25" s="150" t="s">
        <v>251</v>
      </c>
    </row>
    <row r="26" spans="1:11" ht="15" customHeight="1" x14ac:dyDescent="0.3">
      <c r="A26" s="24"/>
      <c r="B26" s="26" t="s">
        <v>252</v>
      </c>
      <c r="C26" s="27">
        <f t="shared" ref="C26:I26" si="5">C24+C25</f>
        <v>2368</v>
      </c>
      <c r="D26" s="27">
        <f t="shared" si="5"/>
        <v>2368</v>
      </c>
      <c r="E26" s="27">
        <f t="shared" si="5"/>
        <v>2405.5720000000001</v>
      </c>
      <c r="F26" s="27">
        <f t="shared" si="5"/>
        <v>2405.5720000000001</v>
      </c>
      <c r="G26" s="27">
        <f t="shared" si="5"/>
        <v>2405.5720000000001</v>
      </c>
      <c r="H26" s="27">
        <f t="shared" si="5"/>
        <v>2405.5720000000001</v>
      </c>
      <c r="I26" s="27">
        <f t="shared" si="5"/>
        <v>2405.5720000000001</v>
      </c>
      <c r="J26" s="28">
        <f>SUM(E26:I26)</f>
        <v>12027.86</v>
      </c>
      <c r="K26" s="148"/>
    </row>
    <row r="27" spans="1:11" ht="15" customHeight="1" x14ac:dyDescent="0.3">
      <c r="A27" s="6" t="s">
        <v>253</v>
      </c>
      <c r="B27" s="6"/>
      <c r="C27" s="6"/>
      <c r="D27" s="6"/>
      <c r="E27" s="6"/>
      <c r="F27" s="6"/>
      <c r="G27" s="6"/>
      <c r="H27" s="6"/>
      <c r="I27" s="6"/>
      <c r="J27" s="6"/>
      <c r="K27" s="6"/>
    </row>
    <row r="28" spans="1:11" ht="13.5" customHeight="1" x14ac:dyDescent="0.3">
      <c r="A28" s="16"/>
      <c r="B28" s="157" t="s">
        <v>254</v>
      </c>
      <c r="C28" s="31">
        <v>8261.58</v>
      </c>
      <c r="D28" s="31">
        <v>8261.58</v>
      </c>
      <c r="E28" s="40">
        <f>D28+Hypothèses!B29</f>
        <v>13261.58</v>
      </c>
      <c r="F28" s="40">
        <f>MAX(0,E28-Hypothèses!B29/MAX(1,Hypothèses!B30-Hypothèses!B32))</f>
        <v>12011.58</v>
      </c>
      <c r="G28" s="40">
        <f>MAX(0,F28-Hypothèses!B29/MAX(1,Hypothèses!B30-Hypothèses!B32))</f>
        <v>10761.58</v>
      </c>
      <c r="H28" s="40">
        <f>MAX(0,G28-Hypothèses!B29/MAX(1,Hypothèses!B30-Hypothèses!B32))</f>
        <v>9511.58</v>
      </c>
      <c r="I28" s="40">
        <f>MAX(0,H28-Hypothèses!B29/MAX(1,Hypothèses!B30-Hypothèses!B32))</f>
        <v>8261.58</v>
      </c>
      <c r="J28" s="16" t="s">
        <v>21</v>
      </c>
      <c r="K28" s="150" t="s">
        <v>255</v>
      </c>
    </row>
    <row r="29" spans="1:11" ht="13.5" customHeight="1" x14ac:dyDescent="0.3">
      <c r="A29" s="24"/>
      <c r="B29" s="35" t="s">
        <v>256</v>
      </c>
      <c r="C29" s="31">
        <v>-507</v>
      </c>
      <c r="D29" s="31">
        <v>-507</v>
      </c>
      <c r="E29" s="31">
        <v>-507</v>
      </c>
      <c r="F29" s="31">
        <v>-507</v>
      </c>
      <c r="G29" s="31">
        <v>-507</v>
      </c>
      <c r="H29" s="31">
        <v>-507</v>
      </c>
      <c r="I29" s="31">
        <v>-507</v>
      </c>
      <c r="J29" s="16" t="s">
        <v>21</v>
      </c>
      <c r="K29" s="148"/>
    </row>
    <row r="30" spans="1:11" ht="13.5" customHeight="1" x14ac:dyDescent="0.3">
      <c r="A30" s="158"/>
      <c r="B30" s="159" t="s">
        <v>257</v>
      </c>
      <c r="C30" s="231">
        <v>0</v>
      </c>
      <c r="D30" s="31" t="s">
        <v>244</v>
      </c>
      <c r="E30" s="40">
        <f>-E28*Hypothèses!B31</f>
        <v>-994.61849999999993</v>
      </c>
      <c r="F30" s="40">
        <f>-F28*Hypothèses!B31</f>
        <v>-900.86849999999993</v>
      </c>
      <c r="G30" s="40">
        <f>-G28*Hypothèses!B31</f>
        <v>-807.11849999999993</v>
      </c>
      <c r="H30" s="40">
        <f>-H28*Hypothèses!B31</f>
        <v>-713.36849999999993</v>
      </c>
      <c r="I30" s="40">
        <f>-I28*Hypothèses!B31</f>
        <v>-619.61849999999993</v>
      </c>
      <c r="J30" s="32">
        <f>SUM(E30:I30)</f>
        <v>-4035.5924999999997</v>
      </c>
      <c r="K30" s="160" t="s">
        <v>21</v>
      </c>
    </row>
    <row r="31" spans="1:11" ht="15" customHeight="1" x14ac:dyDescent="0.3">
      <c r="A31" s="24"/>
      <c r="B31" s="26" t="s">
        <v>258</v>
      </c>
      <c r="C31" s="27">
        <f>C29+C30</f>
        <v>-507</v>
      </c>
      <c r="D31" s="27">
        <f t="shared" ref="C31:I31" si="6">D29+D30</f>
        <v>-507</v>
      </c>
      <c r="E31" s="27">
        <f t="shared" si="6"/>
        <v>-1501.6185</v>
      </c>
      <c r="F31" s="27">
        <f t="shared" si="6"/>
        <v>-1407.8685</v>
      </c>
      <c r="G31" s="27">
        <f t="shared" si="6"/>
        <v>-1314.1185</v>
      </c>
      <c r="H31" s="27">
        <f t="shared" si="6"/>
        <v>-1220.3685</v>
      </c>
      <c r="I31" s="27">
        <f t="shared" si="6"/>
        <v>-1126.6185</v>
      </c>
      <c r="J31" s="16" t="s">
        <v>21</v>
      </c>
      <c r="K31" s="148"/>
    </row>
    <row r="32" spans="1:11" ht="13.5" customHeight="1" x14ac:dyDescent="0.3">
      <c r="A32" s="41"/>
      <c r="B32" s="33" t="s">
        <v>40</v>
      </c>
      <c r="C32" s="34" t="s">
        <v>244</v>
      </c>
      <c r="D32" s="34" t="s">
        <v>244</v>
      </c>
      <c r="E32" s="34" t="s">
        <v>244</v>
      </c>
      <c r="F32" s="34" t="s">
        <v>244</v>
      </c>
      <c r="G32" s="34" t="s">
        <v>244</v>
      </c>
      <c r="H32" s="34" t="s">
        <v>244</v>
      </c>
      <c r="I32" s="34" t="s">
        <v>244</v>
      </c>
      <c r="J32" s="16" t="s">
        <v>21</v>
      </c>
      <c r="K32" s="148"/>
    </row>
    <row r="33" spans="1:11" ht="15" customHeight="1" x14ac:dyDescent="0.3">
      <c r="A33" s="151"/>
      <c r="B33" s="154" t="s">
        <v>41</v>
      </c>
      <c r="C33" s="147">
        <f t="shared" ref="C33:I33" si="7">C22-C26+C31+C32</f>
        <v>4120.043964800001</v>
      </c>
      <c r="D33" s="147">
        <f t="shared" si="7"/>
        <v>4711.7494560000005</v>
      </c>
      <c r="E33" s="147">
        <f t="shared" si="7"/>
        <v>4286.4989124800013</v>
      </c>
      <c r="F33" s="147">
        <f t="shared" si="7"/>
        <v>4953.807171353601</v>
      </c>
      <c r="G33" s="147">
        <f t="shared" si="7"/>
        <v>5485.9195549212836</v>
      </c>
      <c r="H33" s="147">
        <f t="shared" si="7"/>
        <v>6039.950057667349</v>
      </c>
      <c r="I33" s="147">
        <f t="shared" si="7"/>
        <v>6616.9945855507176</v>
      </c>
      <c r="J33" s="28">
        <f>SUM(E33:I33)</f>
        <v>27383.170281972954</v>
      </c>
      <c r="K33" s="148"/>
    </row>
    <row r="34" spans="1:11" ht="13.5" customHeight="1" x14ac:dyDescent="0.3">
      <c r="A34" s="151"/>
      <c r="B34" s="152" t="s">
        <v>259</v>
      </c>
      <c r="C34" s="161">
        <f>IF(C33&gt;0,C33*Hypothèses!B34,0)</f>
        <v>1030.0109912000003</v>
      </c>
      <c r="D34" s="161">
        <f>IF(D33&gt;0,D33*Hypothèses!B34,0)</f>
        <v>1177.9373640000001</v>
      </c>
      <c r="E34" s="161">
        <f>IF(E33&gt;0,E33*Hypothèses!B34,0)</f>
        <v>1071.6247281200003</v>
      </c>
      <c r="F34" s="161">
        <f>IF(F33&gt;0,F33*Hypothèses!B34,0)</f>
        <v>1238.4517928384003</v>
      </c>
      <c r="G34" s="161">
        <f>IF(G33&gt;0,G33*Hypothèses!B34,0)</f>
        <v>1371.4798887303209</v>
      </c>
      <c r="H34" s="161">
        <f>IF(H33&gt;0,H33*Hypothèses!B34,0)</f>
        <v>1509.9875144168373</v>
      </c>
      <c r="I34" s="161">
        <f>IF(I33&gt;0,I33*Hypothèses!B34,0)</f>
        <v>1654.2486463876794</v>
      </c>
      <c r="J34" s="32">
        <f>SUM(E34:I34)</f>
        <v>6845.7925704932386</v>
      </c>
      <c r="K34" s="146" t="s">
        <v>260</v>
      </c>
    </row>
    <row r="35" spans="1:11" ht="15" customHeight="1" x14ac:dyDescent="0.3">
      <c r="A35" s="151"/>
      <c r="B35" s="154" t="s">
        <v>43</v>
      </c>
      <c r="C35" s="147">
        <f t="shared" ref="C35:I35" si="8">C33-C34</f>
        <v>3090.0329736000008</v>
      </c>
      <c r="D35" s="147">
        <f t="shared" si="8"/>
        <v>3533.8120920000001</v>
      </c>
      <c r="E35" s="147">
        <f t="shared" si="8"/>
        <v>3214.874184360001</v>
      </c>
      <c r="F35" s="147">
        <f t="shared" si="8"/>
        <v>3715.3553785152008</v>
      </c>
      <c r="G35" s="147">
        <f t="shared" si="8"/>
        <v>4114.4396661909632</v>
      </c>
      <c r="H35" s="147">
        <f t="shared" si="8"/>
        <v>4529.9625432505118</v>
      </c>
      <c r="I35" s="147">
        <f t="shared" si="8"/>
        <v>4962.7459391630382</v>
      </c>
      <c r="J35" s="28">
        <f>SUM(E35:I35)</f>
        <v>20537.377711479712</v>
      </c>
      <c r="K35" s="148"/>
    </row>
    <row r="36" spans="1:11" ht="15" customHeight="1" x14ac:dyDescent="0.3">
      <c r="A36" s="151"/>
      <c r="B36" s="154" t="s">
        <v>44</v>
      </c>
      <c r="C36" s="147">
        <f t="shared" ref="C36:I36" si="9">C35+C26</f>
        <v>5458.0329736000003</v>
      </c>
      <c r="D36" s="147">
        <f t="shared" si="9"/>
        <v>5901.8120920000001</v>
      </c>
      <c r="E36" s="147">
        <f t="shared" si="9"/>
        <v>5620.4461843600011</v>
      </c>
      <c r="F36" s="147">
        <f t="shared" si="9"/>
        <v>6120.9273785152009</v>
      </c>
      <c r="G36" s="147">
        <f t="shared" si="9"/>
        <v>6520.0116661909633</v>
      </c>
      <c r="H36" s="147">
        <f t="shared" si="9"/>
        <v>6935.5345432505119</v>
      </c>
      <c r="I36" s="147">
        <f t="shared" si="9"/>
        <v>7368.3179391630383</v>
      </c>
      <c r="J36" s="28">
        <f>SUM(E36:I36)</f>
        <v>32565.23771147972</v>
      </c>
      <c r="K36" s="148"/>
    </row>
    <row r="37" spans="1:11" ht="15" customHeight="1" x14ac:dyDescent="0.3">
      <c r="A37" s="7" t="s">
        <v>261</v>
      </c>
      <c r="B37" s="7"/>
      <c r="C37" s="7"/>
      <c r="D37" s="7"/>
      <c r="E37" s="7"/>
      <c r="F37" s="7"/>
      <c r="G37" s="7"/>
      <c r="H37" s="7"/>
      <c r="I37" s="7"/>
      <c r="J37" s="7"/>
      <c r="K37" s="7"/>
    </row>
    <row r="38" spans="1:11" ht="13.5" customHeight="1" x14ac:dyDescent="0.3">
      <c r="A38" s="16"/>
      <c r="B38" s="45" t="s">
        <v>262</v>
      </c>
      <c r="C38" s="162" t="s">
        <v>263</v>
      </c>
      <c r="D38" s="162" t="s">
        <v>264</v>
      </c>
      <c r="E38" s="163">
        <f>Hypothèses!B23</f>
        <v>175</v>
      </c>
      <c r="F38" s="163">
        <f>Hypothèses!B23</f>
        <v>175</v>
      </c>
      <c r="G38" s="163">
        <f>Hypothèses!B23</f>
        <v>175</v>
      </c>
      <c r="H38" s="163">
        <f>Hypothèses!B23</f>
        <v>175</v>
      </c>
      <c r="I38" s="163">
        <f>Hypothèses!B23</f>
        <v>175</v>
      </c>
      <c r="J38" s="16" t="s">
        <v>21</v>
      </c>
      <c r="K38" s="146" t="s">
        <v>265</v>
      </c>
    </row>
    <row r="39" spans="1:11" ht="13.5" customHeight="1" x14ac:dyDescent="0.3">
      <c r="A39" s="16"/>
      <c r="B39" s="45" t="s">
        <v>266</v>
      </c>
      <c r="C39" s="162" t="s">
        <v>267</v>
      </c>
      <c r="D39" s="162" t="s">
        <v>268</v>
      </c>
      <c r="E39" s="163">
        <f>Hypothèses!B24</f>
        <v>140</v>
      </c>
      <c r="F39" s="163">
        <f>Hypothèses!B24</f>
        <v>140</v>
      </c>
      <c r="G39" s="163">
        <f>Hypothèses!B24</f>
        <v>140</v>
      </c>
      <c r="H39" s="163">
        <f>Hypothèses!B24</f>
        <v>140</v>
      </c>
      <c r="I39" s="163">
        <f>Hypothèses!B24</f>
        <v>140</v>
      </c>
      <c r="J39" s="16" t="s">
        <v>21</v>
      </c>
      <c r="K39" s="146" t="s">
        <v>269</v>
      </c>
    </row>
    <row r="40" spans="1:11" ht="13.5" customHeight="1" x14ac:dyDescent="0.3">
      <c r="A40" s="16"/>
      <c r="B40" s="45" t="s">
        <v>270</v>
      </c>
      <c r="C40" s="162" t="s">
        <v>271</v>
      </c>
      <c r="D40" s="162" t="s">
        <v>264</v>
      </c>
      <c r="E40" s="163">
        <f>Hypothèses!B25</f>
        <v>130</v>
      </c>
      <c r="F40" s="163">
        <f>Hypothèses!B25</f>
        <v>130</v>
      </c>
      <c r="G40" s="163">
        <f>Hypothèses!B25</f>
        <v>130</v>
      </c>
      <c r="H40" s="163">
        <f>Hypothèses!B25</f>
        <v>130</v>
      </c>
      <c r="I40" s="163">
        <f>Hypothèses!B25</f>
        <v>130</v>
      </c>
      <c r="J40" s="16" t="s">
        <v>21</v>
      </c>
      <c r="K40" s="146" t="s">
        <v>272</v>
      </c>
    </row>
    <row r="41" spans="1:11" ht="13.5" customHeight="1" x14ac:dyDescent="0.3">
      <c r="A41" s="151"/>
      <c r="B41" s="154" t="s">
        <v>273</v>
      </c>
      <c r="C41" s="164">
        <f t="shared" ref="C41:I41" si="10">C38+C39-C40</f>
        <v>185</v>
      </c>
      <c r="D41" s="164">
        <f t="shared" si="10"/>
        <v>177</v>
      </c>
      <c r="E41" s="164">
        <f t="shared" si="10"/>
        <v>185</v>
      </c>
      <c r="F41" s="164">
        <f t="shared" si="10"/>
        <v>185</v>
      </c>
      <c r="G41" s="164">
        <f t="shared" si="10"/>
        <v>185</v>
      </c>
      <c r="H41" s="164">
        <f t="shared" si="10"/>
        <v>185</v>
      </c>
      <c r="I41" s="164">
        <f t="shared" si="10"/>
        <v>185</v>
      </c>
      <c r="J41" s="16" t="s">
        <v>21</v>
      </c>
      <c r="K41" s="150" t="s">
        <v>274</v>
      </c>
    </row>
    <row r="42" spans="1:11" ht="13.5" customHeight="1" x14ac:dyDescent="0.3">
      <c r="A42" s="151"/>
      <c r="B42" s="154" t="s">
        <v>275</v>
      </c>
      <c r="C42" s="147">
        <f t="shared" ref="C42:I42" si="11">C13*C41/365</f>
        <v>19674.990246575344</v>
      </c>
      <c r="D42" s="147">
        <f t="shared" si="11"/>
        <v>20903.715032876713</v>
      </c>
      <c r="E42" s="147">
        <f t="shared" si="11"/>
        <v>23596.396969315072</v>
      </c>
      <c r="F42" s="147">
        <f t="shared" si="11"/>
        <v>25248.144757167134</v>
      </c>
      <c r="G42" s="147">
        <f t="shared" si="11"/>
        <v>26510.551995025489</v>
      </c>
      <c r="H42" s="147">
        <f t="shared" si="11"/>
        <v>27836.079594776766</v>
      </c>
      <c r="I42" s="147">
        <f t="shared" si="11"/>
        <v>29227.883574515607</v>
      </c>
      <c r="J42" s="16" t="s">
        <v>21</v>
      </c>
      <c r="K42" s="148"/>
    </row>
    <row r="43" spans="1:11" ht="13.5" customHeight="1" x14ac:dyDescent="0.3">
      <c r="A43" s="151"/>
      <c r="B43" s="152" t="s">
        <v>276</v>
      </c>
      <c r="C43" s="161">
        <f>C42-26144.985</f>
        <v>-6469.9947534246567</v>
      </c>
      <c r="D43" s="161">
        <f t="shared" ref="D43:I43" si="12">D42-C42</f>
        <v>1228.724786301369</v>
      </c>
      <c r="E43" s="161">
        <f t="shared" si="12"/>
        <v>2692.6819364383591</v>
      </c>
      <c r="F43" s="161">
        <f t="shared" si="12"/>
        <v>1651.7477878520622</v>
      </c>
      <c r="G43" s="161">
        <f t="shared" si="12"/>
        <v>1262.4072378583551</v>
      </c>
      <c r="H43" s="161">
        <f t="shared" si="12"/>
        <v>1325.5275997512763</v>
      </c>
      <c r="I43" s="161">
        <f t="shared" si="12"/>
        <v>1391.803979738841</v>
      </c>
      <c r="J43" s="32">
        <f>SUM(E43:I43)</f>
        <v>8324.1685416388937</v>
      </c>
      <c r="K43" s="148"/>
    </row>
    <row r="44" spans="1:11" ht="15" customHeight="1" x14ac:dyDescent="0.3">
      <c r="A44" s="42" t="s">
        <v>46</v>
      </c>
      <c r="B44" s="154" t="s">
        <v>50</v>
      </c>
      <c r="C44" s="147">
        <f t="shared" ref="C44:I44" si="13">C36-C43</f>
        <v>11928.027727024657</v>
      </c>
      <c r="D44" s="147">
        <f t="shared" si="13"/>
        <v>4673.0873056986311</v>
      </c>
      <c r="E44" s="147">
        <f t="shared" si="13"/>
        <v>2927.764247921642</v>
      </c>
      <c r="F44" s="147">
        <f t="shared" si="13"/>
        <v>4469.1795906631387</v>
      </c>
      <c r="G44" s="147">
        <f t="shared" si="13"/>
        <v>5257.6044283326082</v>
      </c>
      <c r="H44" s="147">
        <f t="shared" si="13"/>
        <v>5610.0069434992356</v>
      </c>
      <c r="I44" s="147">
        <f t="shared" si="13"/>
        <v>5976.5139594241973</v>
      </c>
      <c r="J44" s="28">
        <f>SUM(E44:I44)</f>
        <v>24241.069169840819</v>
      </c>
      <c r="K44" s="148"/>
    </row>
    <row r="45" spans="1:11" ht="15" customHeight="1" x14ac:dyDescent="0.3">
      <c r="A45" s="6" t="s">
        <v>277</v>
      </c>
      <c r="B45" s="6"/>
      <c r="C45" s="6"/>
      <c r="D45" s="6"/>
      <c r="E45" s="6"/>
      <c r="F45" s="6"/>
      <c r="G45" s="6"/>
      <c r="H45" s="6"/>
      <c r="I45" s="6"/>
      <c r="J45" s="6"/>
      <c r="K45" s="6"/>
    </row>
    <row r="46" spans="1:11" ht="13.5" customHeight="1" x14ac:dyDescent="0.3">
      <c r="A46" s="41"/>
      <c r="B46" s="45" t="s">
        <v>52</v>
      </c>
      <c r="C46" s="34" t="s">
        <v>244</v>
      </c>
      <c r="D46" s="34" t="s">
        <v>244</v>
      </c>
      <c r="E46" s="34" t="s">
        <v>244</v>
      </c>
      <c r="F46" s="34" t="s">
        <v>244</v>
      </c>
      <c r="G46" s="34" t="s">
        <v>244</v>
      </c>
      <c r="H46" s="34" t="s">
        <v>244</v>
      </c>
      <c r="I46" s="34" t="s">
        <v>244</v>
      </c>
      <c r="J46" s="16" t="s">
        <v>21</v>
      </c>
      <c r="K46" s="148"/>
    </row>
    <row r="47" spans="1:11" ht="13.5" customHeight="1" x14ac:dyDescent="0.3">
      <c r="A47" s="41"/>
      <c r="B47" s="45" t="s">
        <v>278</v>
      </c>
      <c r="C47" s="31" t="s">
        <v>244</v>
      </c>
      <c r="D47" s="31" t="s">
        <v>244</v>
      </c>
      <c r="E47" s="34">
        <f>IFERROR(Hypothèses!B39,0)+IFERROR(Hypothèses!B40,0)+IFERROR(Hypothèses!B41,0)</f>
        <v>375.72</v>
      </c>
      <c r="F47" s="34" t="s">
        <v>244</v>
      </c>
      <c r="G47" s="34" t="s">
        <v>244</v>
      </c>
      <c r="H47" s="34" t="s">
        <v>244</v>
      </c>
      <c r="I47" s="34" t="s">
        <v>244</v>
      </c>
      <c r="J47" s="32">
        <f>SUM(C47:I47)</f>
        <v>375.72</v>
      </c>
      <c r="K47" s="146" t="s">
        <v>279</v>
      </c>
    </row>
    <row r="48" spans="1:11" ht="15" customHeight="1" x14ac:dyDescent="0.3">
      <c r="A48" s="42" t="s">
        <v>55</v>
      </c>
      <c r="B48" s="154" t="s">
        <v>56</v>
      </c>
      <c r="C48" s="147">
        <f t="shared" ref="C48:I48" si="14">-C46-C47</f>
        <v>0</v>
      </c>
      <c r="D48" s="147">
        <f t="shared" si="14"/>
        <v>0</v>
      </c>
      <c r="E48" s="147">
        <f t="shared" si="14"/>
        <v>-375.72</v>
      </c>
      <c r="F48" s="147">
        <f t="shared" si="14"/>
        <v>0</v>
      </c>
      <c r="G48" s="147">
        <f t="shared" si="14"/>
        <v>0</v>
      </c>
      <c r="H48" s="147">
        <f t="shared" si="14"/>
        <v>0</v>
      </c>
      <c r="I48" s="147">
        <f t="shared" si="14"/>
        <v>0</v>
      </c>
      <c r="J48" s="28">
        <f>SUM(E48:I48)</f>
        <v>-375.72</v>
      </c>
      <c r="K48" s="148"/>
    </row>
    <row r="49" spans="1:11" ht="15" customHeight="1" x14ac:dyDescent="0.3">
      <c r="A49" s="42" t="s">
        <v>57</v>
      </c>
      <c r="B49" s="154" t="s">
        <v>58</v>
      </c>
      <c r="C49" s="147">
        <f t="shared" ref="C49:I49" si="15">C44+C48</f>
        <v>11928.027727024657</v>
      </c>
      <c r="D49" s="147">
        <f t="shared" si="15"/>
        <v>4673.0873056986311</v>
      </c>
      <c r="E49" s="147">
        <f t="shared" si="15"/>
        <v>2552.0442479216417</v>
      </c>
      <c r="F49" s="147">
        <f t="shared" si="15"/>
        <v>4469.1795906631387</v>
      </c>
      <c r="G49" s="147">
        <f t="shared" si="15"/>
        <v>5257.6044283326082</v>
      </c>
      <c r="H49" s="147">
        <f t="shared" si="15"/>
        <v>5610.0069434992356</v>
      </c>
      <c r="I49" s="147">
        <f t="shared" si="15"/>
        <v>5976.5139594241973</v>
      </c>
      <c r="J49" s="28">
        <f>SUM(E49:I49)</f>
        <v>23865.349169840825</v>
      </c>
      <c r="K49" s="148"/>
    </row>
    <row r="50" spans="1:11" ht="15" customHeight="1" x14ac:dyDescent="0.3">
      <c r="A50" s="7" t="s">
        <v>280</v>
      </c>
      <c r="B50" s="7"/>
      <c r="C50" s="7"/>
      <c r="D50" s="7"/>
      <c r="E50" s="7"/>
      <c r="F50" s="7"/>
      <c r="G50" s="7"/>
      <c r="H50" s="7"/>
      <c r="I50" s="7"/>
      <c r="J50" s="7"/>
      <c r="K50" s="7"/>
    </row>
    <row r="51" spans="1:11" ht="13.5" customHeight="1" x14ac:dyDescent="0.3">
      <c r="A51" s="41"/>
      <c r="B51" s="45" t="s">
        <v>281</v>
      </c>
      <c r="C51" s="31" t="s">
        <v>244</v>
      </c>
      <c r="D51" s="31" t="s">
        <v>244</v>
      </c>
      <c r="E51" s="34">
        <f>Hypothèses!B29</f>
        <v>5000</v>
      </c>
      <c r="F51" s="34" t="s">
        <v>244</v>
      </c>
      <c r="G51" s="34" t="s">
        <v>244</v>
      </c>
      <c r="H51" s="34" t="s">
        <v>244</v>
      </c>
      <c r="I51" s="34" t="s">
        <v>244</v>
      </c>
      <c r="J51" s="32">
        <f>SUM(C51:I51)</f>
        <v>5000</v>
      </c>
      <c r="K51" s="146" t="s">
        <v>282</v>
      </c>
    </row>
    <row r="52" spans="1:11" ht="13.5" customHeight="1" x14ac:dyDescent="0.3">
      <c r="A52" s="41"/>
      <c r="B52" s="45" t="s">
        <v>283</v>
      </c>
      <c r="C52" s="31" t="s">
        <v>244</v>
      </c>
      <c r="D52" s="34">
        <f>C35*Hypothèses!B35</f>
        <v>0</v>
      </c>
      <c r="E52" s="34">
        <f>D35*Hypothèses!B35</f>
        <v>0</v>
      </c>
      <c r="F52" s="34">
        <f>E35*Hypothèses!B35</f>
        <v>0</v>
      </c>
      <c r="G52" s="34">
        <f>F35*Hypothèses!B35</f>
        <v>0</v>
      </c>
      <c r="H52" s="34">
        <f>G35*Hypothèses!B35</f>
        <v>0</v>
      </c>
      <c r="I52" s="34">
        <f>H35*Hypothèses!B35</f>
        <v>0</v>
      </c>
      <c r="J52" s="32">
        <f>SUM(C52:I52)</f>
        <v>0</v>
      </c>
      <c r="K52" s="146" t="s">
        <v>284</v>
      </c>
    </row>
    <row r="53" spans="1:11" ht="15" customHeight="1" x14ac:dyDescent="0.3">
      <c r="A53" s="42" t="s">
        <v>65</v>
      </c>
      <c r="B53" s="154" t="s">
        <v>127</v>
      </c>
      <c r="C53" s="147">
        <f t="shared" ref="C53:I53" si="16">C49-C52+C51</f>
        <v>11928.027727024657</v>
      </c>
      <c r="D53" s="147">
        <f t="shared" si="16"/>
        <v>4673.0873056986311</v>
      </c>
      <c r="E53" s="147">
        <f t="shared" si="16"/>
        <v>7552.0442479216417</v>
      </c>
      <c r="F53" s="147">
        <f t="shared" si="16"/>
        <v>4469.1795906631387</v>
      </c>
      <c r="G53" s="147">
        <f t="shared" si="16"/>
        <v>5257.6044283326082</v>
      </c>
      <c r="H53" s="147">
        <f t="shared" si="16"/>
        <v>5610.0069434992356</v>
      </c>
      <c r="I53" s="147">
        <f t="shared" si="16"/>
        <v>5976.5139594241973</v>
      </c>
      <c r="J53" s="28">
        <f>SUM(E53:I53)</f>
        <v>28865.349169840825</v>
      </c>
      <c r="K53" s="148"/>
    </row>
    <row r="54" spans="1:11" ht="13.5" customHeight="1" x14ac:dyDescent="0.3">
      <c r="A54" s="42" t="s">
        <v>67</v>
      </c>
      <c r="B54" s="156" t="s">
        <v>285</v>
      </c>
      <c r="C54" s="31" t="s">
        <v>244</v>
      </c>
      <c r="D54" s="31" t="s">
        <v>244</v>
      </c>
      <c r="E54" s="47">
        <f>IF(Hypothèses!B32&gt;=1,0,Hypothèses!B29/MAX(1,Hypothèses!B30-Hypothèses!B32))</f>
        <v>0</v>
      </c>
      <c r="F54" s="47">
        <f>Hypothèses!B29/MAX(1,Hypothèses!B30-Hypothèses!B32)</f>
        <v>1250</v>
      </c>
      <c r="G54" s="47">
        <f>Hypothèses!B29/MAX(1,Hypothèses!B30-Hypothèses!B32)</f>
        <v>1250</v>
      </c>
      <c r="H54" s="47">
        <f>Hypothèses!B29/MAX(1,Hypothèses!B30-Hypothèses!B32)</f>
        <v>1250</v>
      </c>
      <c r="I54" s="47">
        <f>Hypothèses!B29/MAX(1,Hypothèses!B30-Hypothèses!B32)</f>
        <v>1250</v>
      </c>
      <c r="J54" s="32">
        <f>SUM(E54:I54)</f>
        <v>5000</v>
      </c>
      <c r="K54" s="150" t="s">
        <v>286</v>
      </c>
    </row>
    <row r="55" spans="1:11" ht="13.5" customHeight="1" x14ac:dyDescent="0.3">
      <c r="A55" s="158"/>
      <c r="B55" s="159" t="s">
        <v>287</v>
      </c>
      <c r="C55" s="31" t="s">
        <v>244</v>
      </c>
      <c r="D55" s="31" t="s">
        <v>244</v>
      </c>
      <c r="E55" s="40">
        <f>E28*Hypothèses!B31</f>
        <v>994.61849999999993</v>
      </c>
      <c r="F55" s="40">
        <f>F28*Hypothèses!B31</f>
        <v>900.86849999999993</v>
      </c>
      <c r="G55" s="40">
        <f>G28*Hypothèses!B31</f>
        <v>807.11849999999993</v>
      </c>
      <c r="H55" s="40">
        <f>H28*Hypothèses!B31</f>
        <v>713.36849999999993</v>
      </c>
      <c r="I55" s="40">
        <f>I28*Hypothèses!B31</f>
        <v>619.61849999999993</v>
      </c>
      <c r="J55" s="32">
        <f>SUM(E55:I55)</f>
        <v>4035.5924999999997</v>
      </c>
      <c r="K55" s="160" t="s">
        <v>21</v>
      </c>
    </row>
    <row r="56" spans="1:11" ht="15" customHeight="1" x14ac:dyDescent="0.3">
      <c r="A56" s="151"/>
      <c r="B56" s="154" t="s">
        <v>130</v>
      </c>
      <c r="C56" s="147">
        <f t="shared" ref="C56:I56" si="17">C54+C55</f>
        <v>0</v>
      </c>
      <c r="D56" s="147">
        <f t="shared" si="17"/>
        <v>0</v>
      </c>
      <c r="E56" s="147">
        <f t="shared" si="17"/>
        <v>994.61849999999993</v>
      </c>
      <c r="F56" s="147">
        <f t="shared" si="17"/>
        <v>2150.8685</v>
      </c>
      <c r="G56" s="147">
        <f t="shared" si="17"/>
        <v>2057.1185</v>
      </c>
      <c r="H56" s="147">
        <f t="shared" si="17"/>
        <v>1963.3685</v>
      </c>
      <c r="I56" s="147">
        <f t="shared" si="17"/>
        <v>1869.6185</v>
      </c>
      <c r="J56" s="28">
        <f>SUM(E56:I56)</f>
        <v>9035.5925000000007</v>
      </c>
      <c r="K56" s="148"/>
    </row>
    <row r="57" spans="1:11" ht="15" customHeight="1" x14ac:dyDescent="0.3">
      <c r="A57" s="42" t="s">
        <v>72</v>
      </c>
      <c r="B57" s="154" t="s">
        <v>288</v>
      </c>
      <c r="C57" s="147">
        <f t="shared" ref="C57:I57" si="18">C53-C56</f>
        <v>11928.027727024657</v>
      </c>
      <c r="D57" s="147">
        <f t="shared" si="18"/>
        <v>4673.0873056986311</v>
      </c>
      <c r="E57" s="147">
        <f t="shared" si="18"/>
        <v>6557.4257479216421</v>
      </c>
      <c r="F57" s="147">
        <f t="shared" si="18"/>
        <v>2318.3110906631387</v>
      </c>
      <c r="G57" s="147">
        <f t="shared" si="18"/>
        <v>3200.4859283326082</v>
      </c>
      <c r="H57" s="147">
        <f t="shared" si="18"/>
        <v>3646.6384434992356</v>
      </c>
      <c r="I57" s="147">
        <f t="shared" si="18"/>
        <v>4106.8954594241968</v>
      </c>
      <c r="J57" s="28">
        <f>SUM(E57:I57)</f>
        <v>19829.756669840819</v>
      </c>
      <c r="K57" s="148"/>
    </row>
    <row r="58" spans="1:11" ht="15" customHeight="1" x14ac:dyDescent="0.3">
      <c r="A58" s="151"/>
      <c r="B58" s="154" t="s">
        <v>289</v>
      </c>
      <c r="C58" s="27">
        <v>-3101.52</v>
      </c>
      <c r="D58" s="147">
        <f t="shared" ref="D58:I58" si="19">C58+D57</f>
        <v>1571.5673056986311</v>
      </c>
      <c r="E58" s="147">
        <f t="shared" si="19"/>
        <v>8128.9930536202737</v>
      </c>
      <c r="F58" s="147">
        <f t="shared" si="19"/>
        <v>10447.304144283413</v>
      </c>
      <c r="G58" s="147">
        <f t="shared" si="19"/>
        <v>13647.790072616021</v>
      </c>
      <c r="H58" s="147">
        <f t="shared" si="19"/>
        <v>17294.428516115255</v>
      </c>
      <c r="I58" s="147">
        <f t="shared" si="19"/>
        <v>21401.323975539453</v>
      </c>
      <c r="J58" s="16" t="s">
        <v>21</v>
      </c>
      <c r="K58" s="148"/>
    </row>
    <row r="59" spans="1:11" ht="13.5" customHeight="1" x14ac:dyDescent="0.3">
      <c r="A59" s="151"/>
      <c r="B59" s="152" t="s">
        <v>290</v>
      </c>
      <c r="C59" s="153">
        <f t="shared" ref="C59:I59" si="20">IF(C13=0,"-",C58/C13)</f>
        <v>-7.9898554864333823E-2</v>
      </c>
      <c r="D59" s="153">
        <f t="shared" si="20"/>
        <v>3.6457754062803868E-2</v>
      </c>
      <c r="E59" s="153">
        <f t="shared" si="20"/>
        <v>0.17461032575362584</v>
      </c>
      <c r="F59" s="153">
        <f t="shared" si="20"/>
        <v>0.20972665519668091</v>
      </c>
      <c r="G59" s="153">
        <f t="shared" si="20"/>
        <v>0.26092904635867276</v>
      </c>
      <c r="H59" s="153">
        <f t="shared" si="20"/>
        <v>0.31490315358700322</v>
      </c>
      <c r="I59" s="153">
        <f t="shared" si="20"/>
        <v>0.37112664592721417</v>
      </c>
      <c r="J59" s="16" t="s">
        <v>21</v>
      </c>
      <c r="K59" s="148"/>
    </row>
    <row r="60" spans="1:11" ht="15" customHeight="1" x14ac:dyDescent="0.3">
      <c r="A60" s="7" t="s">
        <v>291</v>
      </c>
      <c r="B60" s="7"/>
      <c r="C60" s="7"/>
      <c r="D60" s="7"/>
      <c r="E60" s="7"/>
      <c r="F60" s="7"/>
      <c r="G60" s="7"/>
      <c r="H60" s="7"/>
      <c r="I60" s="7"/>
      <c r="J60" s="7"/>
      <c r="K60" s="7"/>
    </row>
    <row r="61" spans="1:11" ht="15" customHeight="1" x14ac:dyDescent="0.3">
      <c r="A61" s="42"/>
      <c r="B61" s="17" t="s">
        <v>292</v>
      </c>
      <c r="C61" s="24" t="s">
        <v>21</v>
      </c>
      <c r="D61" s="24" t="s">
        <v>21</v>
      </c>
      <c r="E61" s="165">
        <f>IF(E56=0,"-",E44/E56)</f>
        <v>2.9436052596263211</v>
      </c>
      <c r="F61" s="165">
        <f>IF(F56=0,"-",F44/F56)</f>
        <v>2.0778488274216387</v>
      </c>
      <c r="G61" s="165">
        <f>IF(G56=0,"-",G44/G56)</f>
        <v>2.5558101919420824</v>
      </c>
      <c r="H61" s="165">
        <f>IF(H56=0,"-",H44/H56)</f>
        <v>2.8573377557494863</v>
      </c>
      <c r="I61" s="165">
        <f>IF(I56=0,"-",I44/I56)</f>
        <v>3.1966489203140624</v>
      </c>
      <c r="J61" s="16" t="s">
        <v>21</v>
      </c>
      <c r="K61" s="150" t="s">
        <v>293</v>
      </c>
    </row>
    <row r="62" spans="1:11" ht="15" customHeight="1" x14ac:dyDescent="0.3">
      <c r="A62" s="42"/>
      <c r="B62" s="17" t="s">
        <v>82</v>
      </c>
      <c r="C62" s="24" t="s">
        <v>21</v>
      </c>
      <c r="D62" s="24" t="s">
        <v>21</v>
      </c>
      <c r="E62" s="165">
        <f>IF(E56=0,"-",E36/E56)</f>
        <v>5.6508562673628147</v>
      </c>
      <c r="F62" s="165">
        <f>IF(F56=0,"-",F36/F56)</f>
        <v>2.8457933985807133</v>
      </c>
      <c r="G62" s="165">
        <f>IF(G56=0,"-",G36/G56)</f>
        <v>3.1694876431236039</v>
      </c>
      <c r="H62" s="165">
        <f>IF(H56=0,"-",H36/H56)</f>
        <v>3.5324670550895116</v>
      </c>
      <c r="I62" s="165">
        <f>IF(I56=0,"-",I36/I56)</f>
        <v>3.9410809954881372</v>
      </c>
      <c r="J62" s="16" t="s">
        <v>21</v>
      </c>
      <c r="K62" s="150" t="s">
        <v>294</v>
      </c>
    </row>
    <row r="63" spans="1:11" ht="15" customHeight="1" x14ac:dyDescent="0.3">
      <c r="A63" s="42"/>
      <c r="B63" s="17" t="s">
        <v>295</v>
      </c>
      <c r="C63" s="24" t="s">
        <v>21</v>
      </c>
      <c r="D63" s="24" t="s">
        <v>21</v>
      </c>
      <c r="E63" s="165">
        <f>IF(E56=0,"-",E22/E56)</f>
        <v>8.2380223296469985</v>
      </c>
      <c r="F63" s="165">
        <f>IF(F56=0,"-",F22/F56)</f>
        <v>4.0761430423819967</v>
      </c>
      <c r="G63" s="165">
        <f>IF(G56=0,"-",G22/G56)</f>
        <v>4.4750023175238978</v>
      </c>
      <c r="H63" s="165">
        <f>IF(H56=0,"-",H22/H56)</f>
        <v>4.9231158377387381</v>
      </c>
      <c r="I63" s="165">
        <f>IF(I56=0,"-",I22/I56)</f>
        <v>5.4284791713126062</v>
      </c>
      <c r="J63" s="16" t="s">
        <v>21</v>
      </c>
      <c r="K63" s="150" t="s">
        <v>296</v>
      </c>
    </row>
    <row r="64" spans="1:11" ht="15" customHeight="1" x14ac:dyDescent="0.3">
      <c r="A64" s="7" t="s">
        <v>297</v>
      </c>
      <c r="B64" s="7"/>
      <c r="C64" s="7"/>
      <c r="D64" s="7"/>
      <c r="E64" s="7"/>
      <c r="F64" s="7"/>
      <c r="G64" s="7"/>
      <c r="H64" s="7"/>
      <c r="I64" s="7"/>
      <c r="J64" s="7"/>
      <c r="K64" s="7"/>
    </row>
    <row r="65" spans="1:11" ht="12.75" customHeight="1" x14ac:dyDescent="0.3">
      <c r="A65" s="223" t="s">
        <v>298</v>
      </c>
      <c r="B65" s="223"/>
      <c r="C65" s="223"/>
      <c r="D65" s="223"/>
      <c r="E65" s="223"/>
      <c r="F65" s="223"/>
      <c r="G65" s="223"/>
      <c r="H65" s="223"/>
      <c r="I65" s="223"/>
      <c r="J65" s="223"/>
      <c r="K65" s="223"/>
    </row>
    <row r="66" spans="1:11" ht="13.5" customHeight="1" x14ac:dyDescent="0.3">
      <c r="A66" s="166" t="s">
        <v>299</v>
      </c>
      <c r="B66" s="166" t="s">
        <v>300</v>
      </c>
      <c r="E66" s="167" t="s">
        <v>10</v>
      </c>
      <c r="F66" s="167" t="s">
        <v>11</v>
      </c>
      <c r="G66" s="167" t="s">
        <v>12</v>
      </c>
      <c r="H66" s="167" t="s">
        <v>13</v>
      </c>
      <c r="I66" s="167" t="s">
        <v>14</v>
      </c>
      <c r="K66" s="167" t="s">
        <v>301</v>
      </c>
    </row>
    <row r="67" spans="1:11" ht="15" customHeight="1" x14ac:dyDescent="0.3">
      <c r="A67" s="17" t="s">
        <v>302</v>
      </c>
      <c r="B67" s="168" t="s">
        <v>303</v>
      </c>
      <c r="C67" s="148" t="s">
        <v>21</v>
      </c>
      <c r="D67" s="148" t="s">
        <v>21</v>
      </c>
      <c r="E67" s="49">
        <f>IF(E56=0,"-",E44*1*1/E56)</f>
        <v>2.9436052596263211</v>
      </c>
      <c r="F67" s="49">
        <f>IF(F56=0,"-",F44*1*1/F56)</f>
        <v>2.0778488274216387</v>
      </c>
      <c r="G67" s="49">
        <f>IF(G56=0,"-",G44*1*1/G56)</f>
        <v>2.5558101919420824</v>
      </c>
      <c r="H67" s="49">
        <f>IF(H56=0,"-",H44*1*1/H56)</f>
        <v>2.8573377557494863</v>
      </c>
      <c r="I67" s="49">
        <f>IF(I56=0,"-",I44*1*1/I56)</f>
        <v>3.1966489203140624</v>
      </c>
      <c r="J67" s="16" t="s">
        <v>21</v>
      </c>
      <c r="K67" s="146" t="s">
        <v>304</v>
      </c>
    </row>
    <row r="68" spans="1:11" ht="15" customHeight="1" x14ac:dyDescent="0.3">
      <c r="A68" s="17" t="s">
        <v>305</v>
      </c>
      <c r="B68" s="168" t="s">
        <v>306</v>
      </c>
      <c r="C68" s="148" t="s">
        <v>21</v>
      </c>
      <c r="D68" s="148" t="s">
        <v>21</v>
      </c>
      <c r="E68" s="169">
        <f>IF(E56=0,"-",E44*0.9*0.85/E56)</f>
        <v>2.2518580236141359</v>
      </c>
      <c r="F68" s="169">
        <f>IF(F56=0,"-",F44*0.9*0.85/F56)</f>
        <v>1.5895543529775533</v>
      </c>
      <c r="G68" s="169">
        <f>IF(G56=0,"-",G44*0.9*0.85/G56)</f>
        <v>1.9551947968356929</v>
      </c>
      <c r="H68" s="169">
        <f>IF(H56=0,"-",H44*0.9*0.85/H56)</f>
        <v>2.1858633831483565</v>
      </c>
      <c r="I68" s="169">
        <f>IF(I56=0,"-",I44*0.9*0.85/I56)</f>
        <v>2.445436424040258</v>
      </c>
      <c r="J68" s="16" t="s">
        <v>21</v>
      </c>
      <c r="K68" s="146" t="s">
        <v>307</v>
      </c>
    </row>
    <row r="69" spans="1:11" ht="15" customHeight="1" x14ac:dyDescent="0.3">
      <c r="A69" s="17" t="s">
        <v>308</v>
      </c>
      <c r="B69" s="168" t="s">
        <v>309</v>
      </c>
      <c r="C69" s="148" t="s">
        <v>21</v>
      </c>
      <c r="D69" s="148" t="s">
        <v>21</v>
      </c>
      <c r="E69" s="49">
        <f>IF(E56=0,"-",E44*1.1*1.1/E56)</f>
        <v>3.5617623641478495</v>
      </c>
      <c r="F69" s="49">
        <f>IF(F56=0,"-",F44*1.1*1.1/F56)</f>
        <v>2.5141970811801833</v>
      </c>
      <c r="G69" s="49">
        <f>IF(G56=0,"-",G44*1.1*1.1/G56)</f>
        <v>3.09253033224992</v>
      </c>
      <c r="H69" s="49">
        <f>IF(H56=0,"-",H44*1.1*1.1/H56)</f>
        <v>3.4573786844568786</v>
      </c>
      <c r="I69" s="49">
        <f>IF(I56=0,"-",I44*1.1*1.1/I56)</f>
        <v>3.8679451935800162</v>
      </c>
      <c r="J69" s="16" t="s">
        <v>21</v>
      </c>
      <c r="K69" s="146" t="s">
        <v>310</v>
      </c>
    </row>
    <row r="70" spans="1:11" ht="15" customHeight="1" x14ac:dyDescent="0.3">
      <c r="A70" s="6" t="s">
        <v>311</v>
      </c>
      <c r="B70" s="6"/>
      <c r="C70" s="6"/>
      <c r="D70" s="6"/>
      <c r="E70" s="6"/>
      <c r="F70" s="6"/>
      <c r="G70" s="6"/>
      <c r="H70" s="6"/>
      <c r="I70" s="6"/>
      <c r="J70" s="6"/>
      <c r="K70" s="6"/>
    </row>
    <row r="71" spans="1:11" ht="13.5" customHeight="1" x14ac:dyDescent="0.3">
      <c r="A71" s="41"/>
      <c r="B71" s="45" t="s">
        <v>312</v>
      </c>
      <c r="C71" s="46" t="s">
        <v>244</v>
      </c>
      <c r="D71" s="46" t="s">
        <v>244</v>
      </c>
      <c r="E71" s="46" t="s">
        <v>244</v>
      </c>
      <c r="F71" s="46" t="s">
        <v>244</v>
      </c>
      <c r="G71" s="46" t="s">
        <v>244</v>
      </c>
      <c r="H71" s="46" t="s">
        <v>244</v>
      </c>
      <c r="I71" s="46" t="s">
        <v>244</v>
      </c>
      <c r="J71" s="16" t="s">
        <v>21</v>
      </c>
      <c r="K71" s="146" t="s">
        <v>313</v>
      </c>
    </row>
    <row r="72" spans="1:11" ht="13.5" customHeight="1" x14ac:dyDescent="0.3">
      <c r="A72" s="151"/>
      <c r="B72" s="154" t="s">
        <v>143</v>
      </c>
      <c r="C72" s="147">
        <f t="shared" ref="C72:I72" si="21">25057.051*(1-C71)</f>
        <v>25057.050999999999</v>
      </c>
      <c r="D72" s="147">
        <f t="shared" si="21"/>
        <v>25057.050999999999</v>
      </c>
      <c r="E72" s="147">
        <f t="shared" si="21"/>
        <v>25057.050999999999</v>
      </c>
      <c r="F72" s="147">
        <f t="shared" si="21"/>
        <v>25057.050999999999</v>
      </c>
      <c r="G72" s="147">
        <f t="shared" si="21"/>
        <v>25057.050999999999</v>
      </c>
      <c r="H72" s="147">
        <f t="shared" si="21"/>
        <v>25057.050999999999</v>
      </c>
      <c r="I72" s="147">
        <f t="shared" si="21"/>
        <v>25057.050999999999</v>
      </c>
      <c r="J72" s="16" t="s">
        <v>21</v>
      </c>
      <c r="K72" s="150" t="s">
        <v>314</v>
      </c>
    </row>
    <row r="73" spans="1:11" ht="13.5" customHeight="1" x14ac:dyDescent="0.3">
      <c r="A73" s="151"/>
      <c r="B73" s="154" t="s">
        <v>315</v>
      </c>
      <c r="C73" s="27">
        <v>16581.239000000001</v>
      </c>
      <c r="D73" s="147">
        <f>C73+D35*(1-Hypothèses!B35)</f>
        <v>20115.051092000002</v>
      </c>
      <c r="E73" s="147">
        <f>D73+E35*(1-Hypothèses!B35)</f>
        <v>23329.925276360002</v>
      </c>
      <c r="F73" s="147">
        <f>E73+F35*(1-Hypothèses!B35)</f>
        <v>27045.280654875201</v>
      </c>
      <c r="G73" s="147">
        <f>F73+G35*(1-Hypothèses!B35)</f>
        <v>31159.720321066165</v>
      </c>
      <c r="H73" s="147">
        <f>G73+H35*(1-Hypothèses!B35)</f>
        <v>35689.682864316674</v>
      </c>
      <c r="I73" s="147">
        <f>H73+I35*(1-Hypothèses!B35)</f>
        <v>40652.428803479714</v>
      </c>
      <c r="J73" s="16" t="s">
        <v>21</v>
      </c>
      <c r="K73" s="148"/>
    </row>
    <row r="74" spans="1:11" ht="13.5" customHeight="1" x14ac:dyDescent="0.3">
      <c r="A74" s="16"/>
      <c r="B74" s="50" t="s">
        <v>85</v>
      </c>
      <c r="C74" s="31">
        <f t="shared" ref="C74:I74" si="22">MAX(0,C28)</f>
        <v>8261.58</v>
      </c>
      <c r="D74" s="161">
        <f t="shared" si="22"/>
        <v>8261.58</v>
      </c>
      <c r="E74" s="161">
        <f t="shared" si="22"/>
        <v>13261.58</v>
      </c>
      <c r="F74" s="161">
        <f t="shared" si="22"/>
        <v>12011.58</v>
      </c>
      <c r="G74" s="161">
        <f t="shared" si="22"/>
        <v>10761.58</v>
      </c>
      <c r="H74" s="161">
        <f t="shared" si="22"/>
        <v>9511.58</v>
      </c>
      <c r="I74" s="161">
        <f t="shared" si="22"/>
        <v>8261.58</v>
      </c>
      <c r="J74" s="16" t="s">
        <v>21</v>
      </c>
      <c r="K74" s="146"/>
    </row>
    <row r="75" spans="1:11" ht="13.5" customHeight="1" x14ac:dyDescent="0.3">
      <c r="A75" s="16"/>
      <c r="B75" s="50" t="s">
        <v>316</v>
      </c>
      <c r="C75" s="52">
        <f t="shared" ref="C75:I75" si="23">IF(C73=0,"-",C28/C73)</f>
        <v>0.49824865319171863</v>
      </c>
      <c r="D75" s="170">
        <f t="shared" si="23"/>
        <v>0.41071633187577289</v>
      </c>
      <c r="E75" s="170">
        <f t="shared" si="23"/>
        <v>0.56843645416377897</v>
      </c>
      <c r="F75" s="170">
        <f t="shared" si="23"/>
        <v>0.44412850261307174</v>
      </c>
      <c r="G75" s="170">
        <f t="shared" si="23"/>
        <v>0.34536831168938364</v>
      </c>
      <c r="H75" s="170">
        <f t="shared" si="23"/>
        <v>0.26650783186168026</v>
      </c>
      <c r="I75" s="170">
        <f t="shared" si="23"/>
        <v>0.20322475785980187</v>
      </c>
      <c r="J75" s="16" t="s">
        <v>21</v>
      </c>
      <c r="K75" s="146" t="s">
        <v>317</v>
      </c>
    </row>
    <row r="76" spans="1:11" ht="13.5" customHeight="1" x14ac:dyDescent="0.3">
      <c r="A76" s="16"/>
      <c r="B76" s="50" t="s">
        <v>318</v>
      </c>
      <c r="C76" s="52">
        <f t="shared" ref="C76:I76" si="24">IF(C22=0,"-",C28/C22)</f>
        <v>1.1810619120585057</v>
      </c>
      <c r="D76" s="170">
        <f t="shared" si="24"/>
        <v>1.0889485738146141</v>
      </c>
      <c r="E76" s="170">
        <f t="shared" si="24"/>
        <v>1.6185114339092441</v>
      </c>
      <c r="F76" s="170">
        <f t="shared" si="24"/>
        <v>1.3700514061268096</v>
      </c>
      <c r="G76" s="170">
        <f t="shared" si="24"/>
        <v>1.1690240989783072</v>
      </c>
      <c r="H76" s="170">
        <f t="shared" si="24"/>
        <v>0.98403555712257218</v>
      </c>
      <c r="I76" s="170">
        <f t="shared" si="24"/>
        <v>0.81401412333704692</v>
      </c>
      <c r="J76" s="16" t="s">
        <v>21</v>
      </c>
      <c r="K76" s="146" t="s">
        <v>319</v>
      </c>
    </row>
    <row r="77" spans="1:11" ht="13.5" customHeight="1" x14ac:dyDescent="0.3">
      <c r="A77" s="16"/>
      <c r="B77" s="50" t="s">
        <v>320</v>
      </c>
      <c r="C77" s="29">
        <f t="shared" ref="C77:I77" si="25">IF((C73+C72)=0,"-",C73/(C73+C72+C28))</f>
        <v>0.33229022440339023</v>
      </c>
      <c r="D77" s="153">
        <f t="shared" si="25"/>
        <v>0.37644890459479663</v>
      </c>
      <c r="E77" s="153">
        <f t="shared" si="25"/>
        <v>0.37843425191947577</v>
      </c>
      <c r="F77" s="153">
        <f t="shared" si="25"/>
        <v>0.42183170480160032</v>
      </c>
      <c r="G77" s="153">
        <f t="shared" si="25"/>
        <v>0.46522077218203711</v>
      </c>
      <c r="H77" s="153">
        <f t="shared" si="25"/>
        <v>0.50797807264832495</v>
      </c>
      <c r="I77" s="153">
        <f t="shared" si="25"/>
        <v>0.54957207469355951</v>
      </c>
      <c r="J77" s="16" t="s">
        <v>21</v>
      </c>
      <c r="K77" s="146" t="s">
        <v>321</v>
      </c>
    </row>
  </sheetData>
  <mergeCells count="17">
    <mergeCell ref="A65:K65"/>
    <mergeCell ref="A70:K70"/>
    <mergeCell ref="A37:K37"/>
    <mergeCell ref="A45:K45"/>
    <mergeCell ref="A50:K50"/>
    <mergeCell ref="A60:K60"/>
    <mergeCell ref="A64:K64"/>
    <mergeCell ref="A6:K6"/>
    <mergeCell ref="A7:K7"/>
    <mergeCell ref="A11:K11"/>
    <mergeCell ref="A23:K23"/>
    <mergeCell ref="A27:K27"/>
    <mergeCell ref="A1:K1"/>
    <mergeCell ref="A2:K2"/>
    <mergeCell ref="A3:K3"/>
    <mergeCell ref="A4:K4"/>
    <mergeCell ref="A5:K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showGridLines="0" zoomScaleNormal="100" workbookViewId="0">
      <selection sqref="A1:C1"/>
    </sheetView>
  </sheetViews>
  <sheetFormatPr baseColWidth="10" defaultColWidth="8.6640625" defaultRowHeight="14.4" x14ac:dyDescent="0.3"/>
  <cols>
    <col min="1" max="1" width="42" customWidth="1"/>
    <col min="2" max="2" width="50.88671875" customWidth="1"/>
    <col min="3" max="3" width="35" customWidth="1"/>
  </cols>
  <sheetData>
    <row r="1" spans="1:3" ht="19.5" customHeight="1" x14ac:dyDescent="0.3">
      <c r="A1" s="224" t="s">
        <v>322</v>
      </c>
      <c r="B1" s="224"/>
      <c r="C1" s="224"/>
    </row>
    <row r="2" spans="1:3" ht="15" customHeight="1" x14ac:dyDescent="0.3">
      <c r="A2" s="225" t="s">
        <v>323</v>
      </c>
      <c r="B2" s="225"/>
      <c r="C2" s="225"/>
    </row>
    <row r="3" spans="1:3" ht="15" customHeight="1" x14ac:dyDescent="0.3">
      <c r="A3" s="10" t="s">
        <v>324</v>
      </c>
      <c r="B3" s="10"/>
      <c r="C3" s="10"/>
    </row>
    <row r="4" spans="1:3" ht="15" customHeight="1" x14ac:dyDescent="0.3">
      <c r="A4" s="226" t="s">
        <v>325</v>
      </c>
      <c r="B4" s="226"/>
      <c r="C4" s="226"/>
    </row>
    <row r="5" spans="1:3" ht="15" customHeight="1" x14ac:dyDescent="0.3">
      <c r="A5" s="227" t="s">
        <v>326</v>
      </c>
      <c r="B5" s="227"/>
      <c r="C5" s="227"/>
    </row>
    <row r="6" spans="1:3" ht="15" customHeight="1" x14ac:dyDescent="0.3"/>
    <row r="7" spans="1:3" ht="15" customHeight="1" x14ac:dyDescent="0.3">
      <c r="A7" s="228" t="s">
        <v>327</v>
      </c>
      <c r="B7" s="228"/>
      <c r="C7" s="228"/>
    </row>
    <row r="8" spans="1:3" ht="15" customHeight="1" x14ac:dyDescent="0.3">
      <c r="A8" s="173" t="s">
        <v>328</v>
      </c>
      <c r="B8" s="174">
        <v>38818.224000000002</v>
      </c>
      <c r="C8" s="160" t="s">
        <v>329</v>
      </c>
    </row>
    <row r="9" spans="1:3" ht="15" customHeight="1" x14ac:dyDescent="0.3">
      <c r="A9" s="173" t="s">
        <v>330</v>
      </c>
      <c r="B9" s="174">
        <v>43106.531000000003</v>
      </c>
      <c r="C9" s="160" t="s">
        <v>331</v>
      </c>
    </row>
    <row r="10" spans="1:3" ht="15" customHeight="1" x14ac:dyDescent="0.3">
      <c r="A10" s="50" t="s">
        <v>332</v>
      </c>
      <c r="B10" s="175">
        <v>0.08</v>
      </c>
      <c r="C10" s="160" t="s">
        <v>333</v>
      </c>
    </row>
    <row r="11" spans="1:3" ht="15" customHeight="1" x14ac:dyDescent="0.3">
      <c r="A11" s="50" t="s">
        <v>334</v>
      </c>
      <c r="B11" s="175">
        <v>7.0000000000000007E-2</v>
      </c>
      <c r="C11" s="160"/>
    </row>
    <row r="12" spans="1:3" ht="15" customHeight="1" x14ac:dyDescent="0.3">
      <c r="A12" s="50" t="s">
        <v>335</v>
      </c>
      <c r="B12" s="175">
        <v>0.05</v>
      </c>
      <c r="C12" s="160" t="s">
        <v>336</v>
      </c>
    </row>
    <row r="13" spans="1:3" ht="15" customHeight="1" x14ac:dyDescent="0.3"/>
    <row r="14" spans="1:3" ht="15" customHeight="1" x14ac:dyDescent="0.3">
      <c r="A14" s="228" t="s">
        <v>337</v>
      </c>
      <c r="B14" s="228"/>
      <c r="C14" s="228"/>
    </row>
    <row r="15" spans="1:3" ht="15" customHeight="1" x14ac:dyDescent="0.3">
      <c r="A15" s="50" t="s">
        <v>338</v>
      </c>
      <c r="B15" s="175">
        <v>0.63</v>
      </c>
      <c r="C15" s="160" t="s">
        <v>339</v>
      </c>
    </row>
    <row r="16" spans="1:3" ht="15" customHeight="1" x14ac:dyDescent="0.3">
      <c r="A16" s="50" t="s">
        <v>340</v>
      </c>
      <c r="B16" s="175">
        <v>0.1215</v>
      </c>
      <c r="C16" s="160" t="s">
        <v>341</v>
      </c>
    </row>
    <row r="17" spans="1:3" ht="15" customHeight="1" x14ac:dyDescent="0.3">
      <c r="A17" s="50" t="s">
        <v>342</v>
      </c>
      <c r="B17" s="175">
        <v>7.2499999999999995E-2</v>
      </c>
      <c r="C17" s="160" t="s">
        <v>343</v>
      </c>
    </row>
    <row r="18" spans="1:3" ht="15" customHeight="1" x14ac:dyDescent="0.3">
      <c r="A18" s="50" t="s">
        <v>344</v>
      </c>
      <c r="B18" s="175">
        <v>0</v>
      </c>
      <c r="C18" s="160" t="s">
        <v>345</v>
      </c>
    </row>
    <row r="19" spans="1:3" ht="15" customHeight="1" x14ac:dyDescent="0.3">
      <c r="A19" s="50" t="s">
        <v>346</v>
      </c>
      <c r="B19" s="176">
        <v>0.17</v>
      </c>
      <c r="C19" s="160" t="s">
        <v>347</v>
      </c>
    </row>
    <row r="20" spans="1:3" ht="15" customHeight="1" x14ac:dyDescent="0.3">
      <c r="A20" s="50" t="s">
        <v>348</v>
      </c>
      <c r="B20" s="174">
        <v>2368</v>
      </c>
      <c r="C20" s="160" t="s">
        <v>349</v>
      </c>
    </row>
    <row r="21" spans="1:3" ht="15" customHeight="1" x14ac:dyDescent="0.3"/>
    <row r="22" spans="1:3" ht="15" customHeight="1" x14ac:dyDescent="0.3">
      <c r="A22" s="228" t="s">
        <v>350</v>
      </c>
      <c r="B22" s="228"/>
      <c r="C22" s="228"/>
    </row>
    <row r="23" spans="1:3" ht="15" customHeight="1" x14ac:dyDescent="0.3">
      <c r="A23" s="50" t="s">
        <v>351</v>
      </c>
      <c r="B23" s="177">
        <v>175</v>
      </c>
      <c r="C23" s="160" t="s">
        <v>352</v>
      </c>
    </row>
    <row r="24" spans="1:3" ht="15" customHeight="1" x14ac:dyDescent="0.3">
      <c r="A24" s="50" t="s">
        <v>353</v>
      </c>
      <c r="B24" s="177">
        <v>140</v>
      </c>
      <c r="C24" s="160" t="s">
        <v>354</v>
      </c>
    </row>
    <row r="25" spans="1:3" ht="15" customHeight="1" x14ac:dyDescent="0.3">
      <c r="A25" s="50" t="s">
        <v>355</v>
      </c>
      <c r="B25" s="177">
        <v>130</v>
      </c>
      <c r="C25" s="160" t="s">
        <v>356</v>
      </c>
    </row>
    <row r="26" spans="1:3" ht="15" customHeight="1" x14ac:dyDescent="0.3">
      <c r="A26" s="50" t="s">
        <v>357</v>
      </c>
      <c r="B26" s="178">
        <v>246</v>
      </c>
      <c r="C26" s="160" t="s">
        <v>358</v>
      </c>
    </row>
    <row r="27" spans="1:3" ht="15" customHeight="1" x14ac:dyDescent="0.3"/>
    <row r="28" spans="1:3" ht="15" customHeight="1" x14ac:dyDescent="0.3">
      <c r="A28" s="229" t="s">
        <v>359</v>
      </c>
      <c r="B28" s="229"/>
      <c r="C28" s="229"/>
    </row>
    <row r="29" spans="1:3" ht="15" customHeight="1" x14ac:dyDescent="0.3">
      <c r="A29" s="50" t="s">
        <v>360</v>
      </c>
      <c r="B29" s="179">
        <v>5000</v>
      </c>
      <c r="C29" s="160" t="s">
        <v>361</v>
      </c>
    </row>
    <row r="30" spans="1:3" ht="15" customHeight="1" x14ac:dyDescent="0.3">
      <c r="A30" s="50" t="s">
        <v>362</v>
      </c>
      <c r="B30" s="180">
        <v>5</v>
      </c>
      <c r="C30" s="160" t="s">
        <v>361</v>
      </c>
    </row>
    <row r="31" spans="1:3" ht="15" customHeight="1" x14ac:dyDescent="0.3">
      <c r="A31" s="50" t="s">
        <v>363</v>
      </c>
      <c r="B31" s="181">
        <v>7.4999999999999997E-2</v>
      </c>
      <c r="C31" s="160" t="s">
        <v>364</v>
      </c>
    </row>
    <row r="32" spans="1:3" ht="15" customHeight="1" x14ac:dyDescent="0.3">
      <c r="A32" s="50" t="s">
        <v>365</v>
      </c>
      <c r="B32" s="180">
        <v>1</v>
      </c>
      <c r="C32" s="160" t="s">
        <v>366</v>
      </c>
    </row>
    <row r="33" spans="1:3" ht="15" customHeight="1" x14ac:dyDescent="0.3">
      <c r="A33" s="50" t="s">
        <v>367</v>
      </c>
      <c r="B33" s="182" t="s">
        <v>10</v>
      </c>
      <c r="C33" s="160"/>
    </row>
    <row r="34" spans="1:3" ht="15" customHeight="1" x14ac:dyDescent="0.3">
      <c r="A34" s="50" t="s">
        <v>368</v>
      </c>
      <c r="B34" s="181">
        <v>0.25</v>
      </c>
      <c r="C34" s="160" t="s">
        <v>369</v>
      </c>
    </row>
    <row r="35" spans="1:3" ht="15" customHeight="1" x14ac:dyDescent="0.3">
      <c r="A35" s="50" t="s">
        <v>370</v>
      </c>
      <c r="B35" s="181">
        <v>0</v>
      </c>
      <c r="C35" s="160" t="s">
        <v>371</v>
      </c>
    </row>
    <row r="36" spans="1:3" ht="15" customHeight="1" x14ac:dyDescent="0.3"/>
    <row r="37" spans="1:3" ht="15" customHeight="1" x14ac:dyDescent="0.3">
      <c r="A37" s="229" t="s">
        <v>372</v>
      </c>
      <c r="B37" s="229"/>
      <c r="C37" s="229"/>
    </row>
    <row r="38" spans="1:3" ht="15" customHeight="1" x14ac:dyDescent="0.3">
      <c r="A38" s="17" t="s">
        <v>373</v>
      </c>
      <c r="B38" s="183" t="s">
        <v>374</v>
      </c>
      <c r="C38" s="183" t="s">
        <v>375</v>
      </c>
    </row>
    <row r="39" spans="1:3" ht="15" customHeight="1" x14ac:dyDescent="0.3">
      <c r="A39" s="50" t="s">
        <v>376</v>
      </c>
      <c r="B39" s="179">
        <v>375.72</v>
      </c>
      <c r="C39" s="180">
        <v>10</v>
      </c>
    </row>
    <row r="40" spans="1:3" ht="15" customHeight="1" x14ac:dyDescent="0.3">
      <c r="A40" s="50" t="s">
        <v>377</v>
      </c>
      <c r="B40" s="179"/>
      <c r="C40" s="180">
        <v>10</v>
      </c>
    </row>
    <row r="41" spans="1:3" ht="15" customHeight="1" x14ac:dyDescent="0.3">
      <c r="A41" s="50" t="s">
        <v>378</v>
      </c>
      <c r="B41" s="179"/>
      <c r="C41" s="180">
        <v>10</v>
      </c>
    </row>
  </sheetData>
  <mergeCells count="10">
    <mergeCell ref="A7:C7"/>
    <mergeCell ref="A14:C14"/>
    <mergeCell ref="A22:C22"/>
    <mergeCell ref="A28:C28"/>
    <mergeCell ref="A37:C37"/>
    <mergeCell ref="A1:C1"/>
    <mergeCell ref="A2:C2"/>
    <mergeCell ref="A3:C3"/>
    <mergeCell ref="A4:C4"/>
    <mergeCell ref="A5:C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40" customWidth="1"/>
    <col min="2" max="8" width="14" customWidth="1"/>
  </cols>
  <sheetData>
    <row r="1" spans="1:9" ht="19.5" customHeight="1" x14ac:dyDescent="0.3">
      <c r="A1" s="224" t="s">
        <v>379</v>
      </c>
      <c r="B1" s="224"/>
      <c r="C1" s="224"/>
      <c r="D1" s="224"/>
      <c r="E1" s="224"/>
      <c r="F1" s="224"/>
      <c r="G1" s="224"/>
      <c r="H1" s="224"/>
      <c r="I1" s="224"/>
    </row>
    <row r="2" spans="1:9" ht="12.75" customHeight="1" x14ac:dyDescent="0.3">
      <c r="A2" s="172" t="s">
        <v>380</v>
      </c>
      <c r="B2" s="171" t="s">
        <v>381</v>
      </c>
      <c r="C2" s="15" t="s">
        <v>382</v>
      </c>
      <c r="D2" s="184" t="s">
        <v>383</v>
      </c>
    </row>
    <row r="3" spans="1:9" ht="15" customHeight="1" x14ac:dyDescent="0.3">
      <c r="A3" s="22" t="s">
        <v>384</v>
      </c>
      <c r="B3" s="185" t="s">
        <v>8</v>
      </c>
      <c r="C3" s="186" t="s">
        <v>9</v>
      </c>
      <c r="D3" s="187" t="s">
        <v>10</v>
      </c>
      <c r="E3" s="187" t="s">
        <v>11</v>
      </c>
      <c r="F3" s="187" t="s">
        <v>12</v>
      </c>
      <c r="G3" s="187" t="s">
        <v>13</v>
      </c>
      <c r="H3" s="187" t="s">
        <v>14</v>
      </c>
    </row>
    <row r="4" spans="1:9" ht="12.75" customHeight="1" x14ac:dyDescent="0.3">
      <c r="A4" s="17" t="s">
        <v>154</v>
      </c>
      <c r="B4" s="188" t="s">
        <v>16</v>
      </c>
      <c r="C4" s="188" t="s">
        <v>17</v>
      </c>
      <c r="D4" s="188" t="s">
        <v>18</v>
      </c>
      <c r="E4" s="188" t="s">
        <v>18</v>
      </c>
      <c r="F4" s="188" t="s">
        <v>18</v>
      </c>
      <c r="G4" s="188" t="s">
        <v>18</v>
      </c>
      <c r="H4" s="188" t="s">
        <v>18</v>
      </c>
    </row>
    <row r="5" spans="1:9" ht="15" customHeight="1" x14ac:dyDescent="0.3">
      <c r="A5" s="228" t="s">
        <v>385</v>
      </c>
      <c r="B5" s="228"/>
      <c r="C5" s="228"/>
      <c r="D5" s="228"/>
      <c r="E5" s="228"/>
      <c r="F5" s="228"/>
      <c r="G5" s="228"/>
      <c r="H5" s="228"/>
    </row>
    <row r="6" spans="1:9" ht="13.5" customHeight="1" x14ac:dyDescent="0.3">
      <c r="A6" s="189" t="s">
        <v>386</v>
      </c>
      <c r="B6" s="190">
        <v>38818.224000000002</v>
      </c>
      <c r="C6" s="191">
        <v>43106.531000000003</v>
      </c>
      <c r="D6" s="192">
        <v>46555.053480000002</v>
      </c>
      <c r="E6" s="192">
        <v>49813.907223599999</v>
      </c>
      <c r="F6" s="192">
        <v>52304.602584779997</v>
      </c>
      <c r="G6" s="192">
        <v>54919.832714019001</v>
      </c>
      <c r="H6" s="192">
        <v>57665.824349720002</v>
      </c>
    </row>
    <row r="7" spans="1:9" ht="13.5" customHeight="1" x14ac:dyDescent="0.3">
      <c r="A7" s="50" t="s">
        <v>387</v>
      </c>
      <c r="B7" s="193">
        <v>24292.444579200001</v>
      </c>
      <c r="C7" s="194">
        <v>26976.067099799999</v>
      </c>
      <c r="D7" s="51">
        <v>30726.3352968</v>
      </c>
      <c r="E7" s="51">
        <v>33375.317839812</v>
      </c>
      <c r="F7" s="51">
        <v>35044.083731802602</v>
      </c>
      <c r="G7" s="51">
        <v>36796.287918392802</v>
      </c>
      <c r="H7" s="51">
        <v>38636.102314312397</v>
      </c>
    </row>
    <row r="8" spans="1:9" ht="13.5" customHeight="1" x14ac:dyDescent="0.3">
      <c r="A8" s="17" t="s">
        <v>388</v>
      </c>
      <c r="B8" s="195">
        <v>14525.7794208</v>
      </c>
      <c r="C8" s="195">
        <v>16130.4639002</v>
      </c>
      <c r="D8" s="28">
        <v>15828.718183200001</v>
      </c>
      <c r="E8" s="28">
        <v>16438.589383787999</v>
      </c>
      <c r="F8" s="28">
        <v>17260.518852977399</v>
      </c>
      <c r="G8" s="28">
        <v>18123.544795626301</v>
      </c>
      <c r="H8" s="28">
        <v>19029.722035407602</v>
      </c>
    </row>
    <row r="9" spans="1:9" ht="13.5" customHeight="1" x14ac:dyDescent="0.3">
      <c r="A9" s="50" t="s">
        <v>105</v>
      </c>
      <c r="B9" s="193">
        <v>4716.4142160000001</v>
      </c>
      <c r="C9" s="194">
        <v>5237.4435165000004</v>
      </c>
      <c r="D9" s="51">
        <v>5656.4389978199997</v>
      </c>
      <c r="E9" s="51">
        <v>6052.3897276673997</v>
      </c>
      <c r="F9" s="51">
        <v>6355.0092140507704</v>
      </c>
      <c r="G9" s="51">
        <v>6672.7596747533098</v>
      </c>
      <c r="H9" s="51">
        <v>7006.3976584909797</v>
      </c>
    </row>
    <row r="10" spans="1:9" ht="13.5" customHeight="1" x14ac:dyDescent="0.3">
      <c r="A10" s="50" t="s">
        <v>107</v>
      </c>
      <c r="B10" s="193">
        <v>2814.3212400000002</v>
      </c>
      <c r="C10" s="194">
        <v>3125.2234975000001</v>
      </c>
      <c r="D10" s="51">
        <v>3375.2413772999998</v>
      </c>
      <c r="E10" s="51">
        <v>3611.5082737110001</v>
      </c>
      <c r="F10" s="51">
        <v>3792.08368739655</v>
      </c>
      <c r="G10" s="51">
        <v>3981.6878717663799</v>
      </c>
      <c r="H10" s="51">
        <v>4180.7722653546998</v>
      </c>
    </row>
    <row r="11" spans="1:9" ht="13.5" customHeight="1" x14ac:dyDescent="0.3">
      <c r="A11" s="17" t="s">
        <v>31</v>
      </c>
      <c r="B11" s="195">
        <v>6995.0439648000001</v>
      </c>
      <c r="C11" s="195">
        <v>7767.7968861999998</v>
      </c>
      <c r="D11" s="28">
        <v>6797.0378080800001</v>
      </c>
      <c r="E11" s="28">
        <v>6774.6913824096</v>
      </c>
      <c r="F11" s="28">
        <v>7113.4259515300801</v>
      </c>
      <c r="G11" s="28">
        <v>7469.0972491065804</v>
      </c>
      <c r="H11" s="28">
        <v>7842.5521115619204</v>
      </c>
    </row>
    <row r="12" spans="1:9" ht="13.5" customHeight="1" x14ac:dyDescent="0.3">
      <c r="A12" s="50" t="s">
        <v>389</v>
      </c>
      <c r="B12" s="196">
        <v>0.1802</v>
      </c>
      <c r="C12" s="197">
        <v>0.1802</v>
      </c>
      <c r="D12" s="198">
        <v>0.14599999999999999</v>
      </c>
      <c r="E12" s="198">
        <v>0.13600000000000001</v>
      </c>
      <c r="F12" s="198">
        <v>0.13600000000000001</v>
      </c>
      <c r="G12" s="198">
        <v>0.13600000000000001</v>
      </c>
      <c r="H12" s="198">
        <v>0.13600000000000001</v>
      </c>
    </row>
    <row r="13" spans="1:9" ht="13.5" customHeight="1" x14ac:dyDescent="0.3">
      <c r="A13" s="50" t="s">
        <v>390</v>
      </c>
      <c r="B13" s="193">
        <v>2368</v>
      </c>
      <c r="C13" s="194">
        <v>2368</v>
      </c>
      <c r="D13" s="51">
        <v>2368</v>
      </c>
      <c r="E13" s="51">
        <v>2368</v>
      </c>
      <c r="F13" s="51">
        <v>2368</v>
      </c>
      <c r="G13" s="51">
        <v>2368</v>
      </c>
      <c r="H13" s="51">
        <v>2368</v>
      </c>
    </row>
    <row r="14" spans="1:9" ht="13.5" customHeight="1" x14ac:dyDescent="0.3">
      <c r="A14" s="17" t="s">
        <v>391</v>
      </c>
      <c r="B14" s="195">
        <v>4627.0439648000001</v>
      </c>
      <c r="C14" s="195">
        <v>5399.7968861999998</v>
      </c>
      <c r="D14" s="28">
        <v>4429.0378080800001</v>
      </c>
      <c r="E14" s="28">
        <v>4406.6913824096</v>
      </c>
      <c r="F14" s="28">
        <v>4745.4259515300801</v>
      </c>
      <c r="G14" s="28">
        <v>5101.0972491065804</v>
      </c>
      <c r="H14" s="28">
        <v>5474.5521115619204</v>
      </c>
    </row>
    <row r="15" spans="1:9" ht="13.5" customHeight="1" x14ac:dyDescent="0.3">
      <c r="A15" s="50" t="s">
        <v>392</v>
      </c>
      <c r="B15" s="193">
        <v>-507</v>
      </c>
      <c r="C15" s="194">
        <v>-507</v>
      </c>
      <c r="D15" s="51">
        <v>-507</v>
      </c>
      <c r="E15" s="51">
        <v>-507</v>
      </c>
      <c r="F15" s="51">
        <v>-507</v>
      </c>
      <c r="G15" s="51">
        <v>-507</v>
      </c>
      <c r="H15" s="51">
        <v>-507</v>
      </c>
    </row>
    <row r="16" spans="1:9" ht="13.5" customHeight="1" x14ac:dyDescent="0.3">
      <c r="A16" s="17" t="s">
        <v>41</v>
      </c>
      <c r="B16" s="195">
        <v>4120.0439648000001</v>
      </c>
      <c r="C16" s="195">
        <v>4892.7968861999998</v>
      </c>
      <c r="D16" s="28">
        <v>3922.0378080800001</v>
      </c>
      <c r="E16" s="28">
        <v>3899.6913824096</v>
      </c>
      <c r="F16" s="28">
        <v>4238.4259515300801</v>
      </c>
      <c r="G16" s="28">
        <v>4594.0972491065804</v>
      </c>
      <c r="H16" s="28">
        <v>4967.5521115619204</v>
      </c>
    </row>
    <row r="17" spans="1:8" ht="13.5" customHeight="1" x14ac:dyDescent="0.3">
      <c r="A17" s="50" t="s">
        <v>111</v>
      </c>
      <c r="B17" s="193">
        <v>1030.0109912</v>
      </c>
      <c r="C17" s="194">
        <v>1223.1992215499999</v>
      </c>
      <c r="D17" s="51">
        <v>980.50945202000003</v>
      </c>
      <c r="E17" s="51">
        <v>974.92284560239898</v>
      </c>
      <c r="F17" s="51">
        <v>1059.60648788252</v>
      </c>
      <c r="G17" s="51">
        <v>1148.5243122766501</v>
      </c>
      <c r="H17" s="51">
        <v>1241.8880278904801</v>
      </c>
    </row>
    <row r="18" spans="1:8" ht="13.5" customHeight="1" x14ac:dyDescent="0.3">
      <c r="A18" s="17" t="s">
        <v>43</v>
      </c>
      <c r="B18" s="195">
        <v>3090.0329735999999</v>
      </c>
      <c r="C18" s="195">
        <v>3669.5976646499998</v>
      </c>
      <c r="D18" s="28">
        <v>2941.5283560600001</v>
      </c>
      <c r="E18" s="28">
        <v>2924.7685368071998</v>
      </c>
      <c r="F18" s="28">
        <v>3178.81946364756</v>
      </c>
      <c r="G18" s="28">
        <v>3445.5729368299399</v>
      </c>
      <c r="H18" s="28">
        <v>3725.66408367144</v>
      </c>
    </row>
    <row r="19" spans="1:8" ht="13.5" customHeight="1" x14ac:dyDescent="0.3">
      <c r="A19" s="50" t="s">
        <v>112</v>
      </c>
      <c r="B19" s="196">
        <v>7.96026364730133E-2</v>
      </c>
      <c r="C19" s="197">
        <v>8.5128577492120605E-2</v>
      </c>
      <c r="D19" s="198">
        <v>6.3183868048259803E-2</v>
      </c>
      <c r="E19" s="198">
        <v>5.8713895372205401E-2</v>
      </c>
      <c r="F19" s="198">
        <v>6.07751384497194E-2</v>
      </c>
      <c r="G19" s="198">
        <v>6.27382270949709E-2</v>
      </c>
      <c r="H19" s="198">
        <v>6.4607835328543695E-2</v>
      </c>
    </row>
    <row r="20" spans="1:8" ht="13.5" customHeight="1" x14ac:dyDescent="0.3">
      <c r="A20" s="154" t="s">
        <v>44</v>
      </c>
      <c r="B20" s="199">
        <v>5458.0329736000003</v>
      </c>
      <c r="C20" s="199">
        <v>6037.5976646500003</v>
      </c>
      <c r="D20" s="147">
        <v>5309.5283560600001</v>
      </c>
      <c r="E20" s="147">
        <v>5292.7685368071998</v>
      </c>
      <c r="F20" s="147">
        <v>5546.81946364756</v>
      </c>
      <c r="G20" s="147">
        <v>5813.5729368299399</v>
      </c>
      <c r="H20" s="147">
        <v>6093.6640836714396</v>
      </c>
    </row>
    <row r="21" spans="1:8" ht="13.5" customHeight="1" x14ac:dyDescent="0.3">
      <c r="A21" s="50" t="s">
        <v>393</v>
      </c>
      <c r="B21" s="196">
        <v>0.14060491210520101</v>
      </c>
      <c r="C21" s="197">
        <v>0.14006224867990399</v>
      </c>
      <c r="D21" s="198">
        <v>0.114048378407319</v>
      </c>
      <c r="E21" s="198">
        <v>0.10625082094141899</v>
      </c>
      <c r="F21" s="198">
        <v>0.10604840089659</v>
      </c>
      <c r="G21" s="198">
        <v>0.105855619901514</v>
      </c>
      <c r="H21" s="198">
        <v>0.105672018953823</v>
      </c>
    </row>
    <row r="23" spans="1:8" ht="15" customHeight="1" x14ac:dyDescent="0.3">
      <c r="A23" s="228" t="s">
        <v>394</v>
      </c>
      <c r="B23" s="228"/>
      <c r="C23" s="228"/>
      <c r="D23" s="228"/>
      <c r="E23" s="228"/>
      <c r="F23" s="228"/>
      <c r="G23" s="228"/>
      <c r="H23" s="228"/>
    </row>
    <row r="24" spans="1:8" ht="13.5" customHeight="1" x14ac:dyDescent="0.3">
      <c r="A24" s="50" t="s">
        <v>47</v>
      </c>
      <c r="B24" s="200">
        <v>246</v>
      </c>
      <c r="C24" s="201">
        <v>251</v>
      </c>
      <c r="D24" s="202">
        <v>246</v>
      </c>
      <c r="E24" s="202">
        <v>240</v>
      </c>
      <c r="F24" s="202">
        <v>240</v>
      </c>
      <c r="G24" s="202">
        <v>235</v>
      </c>
      <c r="H24" s="202">
        <v>230</v>
      </c>
    </row>
    <row r="25" spans="1:8" ht="13.5" customHeight="1" x14ac:dyDescent="0.3">
      <c r="A25" s="50" t="s">
        <v>118</v>
      </c>
      <c r="B25" s="193">
        <v>26162.419463013699</v>
      </c>
      <c r="C25" s="194">
        <v>29643.1213178082</v>
      </c>
      <c r="D25" s="51">
        <v>31376.8305646027</v>
      </c>
      <c r="E25" s="51">
        <v>32754.349955243899</v>
      </c>
      <c r="F25" s="51">
        <v>34392.067453005999</v>
      </c>
      <c r="G25" s="51">
        <v>35359.344350121799</v>
      </c>
      <c r="H25" s="51">
        <v>36337.368768316701</v>
      </c>
    </row>
    <row r="26" spans="1:8" ht="13.5" customHeight="1" x14ac:dyDescent="0.3">
      <c r="A26" s="50" t="s">
        <v>395</v>
      </c>
      <c r="B26" s="193">
        <v>0</v>
      </c>
      <c r="C26" s="194">
        <v>3480.7018547945199</v>
      </c>
      <c r="D26" s="51">
        <v>1733.7092467945199</v>
      </c>
      <c r="E26" s="51">
        <v>1377.5193906411</v>
      </c>
      <c r="F26" s="51">
        <v>1637.7174977621901</v>
      </c>
      <c r="G26" s="51">
        <v>967.27689711579296</v>
      </c>
      <c r="H26" s="51">
        <v>978.02441819486603</v>
      </c>
    </row>
    <row r="27" spans="1:8" ht="13.5" customHeight="1" x14ac:dyDescent="0.3">
      <c r="A27" s="154" t="s">
        <v>396</v>
      </c>
      <c r="B27" s="199">
        <v>5458.0329736000003</v>
      </c>
      <c r="C27" s="199">
        <v>2556.8958098554799</v>
      </c>
      <c r="D27" s="147">
        <v>3575.8191092654802</v>
      </c>
      <c r="E27" s="147">
        <v>3915.2491461660902</v>
      </c>
      <c r="F27" s="147">
        <v>3909.1019658853602</v>
      </c>
      <c r="G27" s="147">
        <v>4846.2960397141496</v>
      </c>
      <c r="H27" s="147">
        <v>5115.6396654765704</v>
      </c>
    </row>
    <row r="28" spans="1:8" ht="13.5" customHeight="1" x14ac:dyDescent="0.3">
      <c r="A28" s="50" t="s">
        <v>397</v>
      </c>
      <c r="B28" s="196">
        <v>0.14060491210520101</v>
      </c>
      <c r="C28" s="197">
        <v>5.9315740574333801E-2</v>
      </c>
      <c r="D28" s="198">
        <v>7.6808398701585498E-2</v>
      </c>
      <c r="E28" s="198">
        <v>7.8597511506007495E-2</v>
      </c>
      <c r="F28" s="198">
        <v>7.4737246297763904E-2</v>
      </c>
      <c r="G28" s="198">
        <v>8.8243095439674596E-2</v>
      </c>
      <c r="H28" s="198">
        <v>8.8711810212792203E-2</v>
      </c>
    </row>
    <row r="30" spans="1:8" ht="15" customHeight="1" x14ac:dyDescent="0.3">
      <c r="A30" s="229" t="s">
        <v>398</v>
      </c>
      <c r="B30" s="229"/>
      <c r="C30" s="229"/>
      <c r="D30" s="229"/>
      <c r="E30" s="229"/>
      <c r="F30" s="229"/>
      <c r="G30" s="229"/>
      <c r="H30" s="229"/>
    </row>
    <row r="31" spans="1:8" ht="15" customHeight="1" x14ac:dyDescent="0.3">
      <c r="A31" s="230" t="s">
        <v>399</v>
      </c>
      <c r="B31" s="230"/>
      <c r="C31" s="230"/>
      <c r="D31" s="230"/>
      <c r="E31" s="230"/>
      <c r="F31" s="230"/>
      <c r="G31" s="230"/>
      <c r="H31" s="230"/>
    </row>
    <row r="32" spans="1:8" ht="13.5" customHeight="1" x14ac:dyDescent="0.3">
      <c r="A32" s="50" t="s">
        <v>400</v>
      </c>
      <c r="B32" s="193"/>
      <c r="C32" s="194"/>
      <c r="D32" s="51">
        <v>300</v>
      </c>
      <c r="E32" s="51">
        <v>300</v>
      </c>
      <c r="F32" s="51">
        <v>300</v>
      </c>
      <c r="G32" s="51">
        <v>300</v>
      </c>
      <c r="H32" s="51">
        <v>300</v>
      </c>
    </row>
    <row r="33" spans="1:8" ht="13.5" customHeight="1" x14ac:dyDescent="0.3">
      <c r="A33" s="50" t="s">
        <v>401</v>
      </c>
      <c r="B33" s="193"/>
      <c r="C33" s="194"/>
      <c r="D33" s="51">
        <v>700</v>
      </c>
      <c r="E33" s="51">
        <v>700</v>
      </c>
      <c r="F33" s="51">
        <v>700</v>
      </c>
      <c r="G33" s="51">
        <v>700</v>
      </c>
      <c r="H33" s="51">
        <v>700</v>
      </c>
    </row>
    <row r="34" spans="1:8" ht="13.5" customHeight="1" x14ac:dyDescent="0.3">
      <c r="A34" s="17" t="s">
        <v>402</v>
      </c>
      <c r="B34" s="195"/>
      <c r="C34" s="195"/>
      <c r="D34" s="28">
        <v>1000</v>
      </c>
      <c r="E34" s="28">
        <v>1000</v>
      </c>
      <c r="F34" s="28">
        <v>1000</v>
      </c>
      <c r="G34" s="28">
        <v>1000</v>
      </c>
      <c r="H34" s="28">
        <v>1000</v>
      </c>
    </row>
    <row r="36" spans="1:8" ht="15" customHeight="1" x14ac:dyDescent="0.3">
      <c r="A36" s="228" t="s">
        <v>403</v>
      </c>
      <c r="B36" s="228"/>
      <c r="C36" s="228"/>
      <c r="D36" s="228"/>
      <c r="E36" s="228"/>
      <c r="F36" s="228"/>
      <c r="G36" s="228"/>
      <c r="H36" s="228"/>
    </row>
    <row r="37" spans="1:8" ht="13.5" customHeight="1" x14ac:dyDescent="0.3">
      <c r="A37" s="154" t="s">
        <v>404</v>
      </c>
      <c r="B37" s="199">
        <v>5458.0329736000003</v>
      </c>
      <c r="C37" s="199">
        <v>2556.8958098554799</v>
      </c>
      <c r="D37" s="147">
        <v>2575.8191092654802</v>
      </c>
      <c r="E37" s="147">
        <v>2915.2491461660902</v>
      </c>
      <c r="F37" s="147">
        <v>2909.1019658853602</v>
      </c>
      <c r="G37" s="147">
        <v>3846.2960397141501</v>
      </c>
      <c r="H37" s="147">
        <v>4115.6396654765704</v>
      </c>
    </row>
    <row r="38" spans="1:8" ht="13.5" customHeight="1" x14ac:dyDescent="0.3">
      <c r="A38" s="17" t="s">
        <v>405</v>
      </c>
      <c r="B38" s="203"/>
      <c r="C38" s="204"/>
      <c r="D38" s="49">
        <v>3.5758191092654799</v>
      </c>
      <c r="E38" s="49">
        <v>3.9152491461660901</v>
      </c>
      <c r="F38" s="49">
        <v>3.9091019658853599</v>
      </c>
      <c r="G38" s="49">
        <v>4.8462960397141499</v>
      </c>
      <c r="H38" s="49">
        <v>5.1156396654765697</v>
      </c>
    </row>
    <row r="39" spans="1:8" ht="13.5" customHeight="1" x14ac:dyDescent="0.3">
      <c r="A39" s="50" t="s">
        <v>406</v>
      </c>
      <c r="B39" s="205">
        <v>1.18112195456891</v>
      </c>
      <c r="C39" s="206"/>
      <c r="D39" s="53"/>
      <c r="E39" s="53"/>
      <c r="F39" s="53"/>
      <c r="G39" s="53"/>
      <c r="H39" s="53"/>
    </row>
    <row r="40" spans="1:8" ht="13.5" customHeight="1" x14ac:dyDescent="0.3">
      <c r="A40" s="17" t="s">
        <v>407</v>
      </c>
      <c r="B40" s="203"/>
      <c r="C40" s="204"/>
      <c r="D40" s="49">
        <v>5.3095283560600004</v>
      </c>
      <c r="E40" s="49">
        <v>5.2927685368072002</v>
      </c>
      <c r="F40" s="49">
        <v>5.5468194636475596</v>
      </c>
      <c r="G40" s="49">
        <v>5.8135729368299396</v>
      </c>
      <c r="H40" s="49">
        <v>6.09366408367144</v>
      </c>
    </row>
    <row r="42" spans="1:8" ht="15" customHeight="1" x14ac:dyDescent="0.3">
      <c r="A42" s="228" t="s">
        <v>408</v>
      </c>
      <c r="B42" s="228"/>
      <c r="C42" s="228"/>
      <c r="D42" s="228"/>
      <c r="E42" s="228"/>
      <c r="F42" s="228"/>
      <c r="G42" s="228"/>
      <c r="H42" s="228"/>
    </row>
    <row r="43" spans="1:8" ht="13.5" customHeight="1" x14ac:dyDescent="0.3">
      <c r="A43" s="207" t="s">
        <v>409</v>
      </c>
      <c r="B43" s="208">
        <v>-3101.52</v>
      </c>
      <c r="C43" s="208">
        <v>-544.624190144522</v>
      </c>
      <c r="D43" s="147">
        <v>2031.1949191209601</v>
      </c>
      <c r="E43" s="147">
        <v>4946.4440652870499</v>
      </c>
      <c r="F43" s="147">
        <v>7855.54603117241</v>
      </c>
      <c r="G43" s="147">
        <v>11701.8420708866</v>
      </c>
      <c r="H43" s="147">
        <v>15817.481736363099</v>
      </c>
    </row>
    <row r="44" spans="1:8" ht="13.5" customHeight="1" x14ac:dyDescent="0.3">
      <c r="A44" s="50" t="s">
        <v>132</v>
      </c>
      <c r="B44" s="196">
        <v>-7.9898554864333796E-2</v>
      </c>
      <c r="C44" s="197">
        <v>-1.2634377610773699E-2</v>
      </c>
      <c r="D44" s="198">
        <v>4.3629955660851198E-2</v>
      </c>
      <c r="E44" s="198">
        <v>9.9298455812428299E-2</v>
      </c>
      <c r="F44" s="198">
        <v>0.15018842784321801</v>
      </c>
      <c r="G44" s="198">
        <v>0.21307133493688701</v>
      </c>
      <c r="H44" s="198">
        <v>0.27429559734439002</v>
      </c>
    </row>
  </sheetData>
  <mergeCells count="7">
    <mergeCell ref="A36:H36"/>
    <mergeCell ref="A42:H42"/>
    <mergeCell ref="A1:I1"/>
    <mergeCell ref="A5:H5"/>
    <mergeCell ref="A23:H23"/>
    <mergeCell ref="A30:H30"/>
    <mergeCell ref="A31:H3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showGridLines="0" zoomScaleNormal="100" workbookViewId="0"/>
  </sheetViews>
  <sheetFormatPr baseColWidth="10" defaultColWidth="8.6640625" defaultRowHeight="14.4" x14ac:dyDescent="0.3"/>
  <cols>
    <col min="1" max="1" width="6" customWidth="1"/>
    <col min="2" max="2" width="35" customWidth="1"/>
    <col min="3" max="3" width="50" customWidth="1"/>
    <col min="4" max="4" width="30" customWidth="1"/>
    <col min="5" max="5" width="18" customWidth="1"/>
  </cols>
  <sheetData>
    <row r="1" spans="1:5" ht="21.75" customHeight="1" x14ac:dyDescent="0.3">
      <c r="A1" s="224" t="s">
        <v>410</v>
      </c>
      <c r="B1" s="224"/>
      <c r="C1" s="224"/>
      <c r="D1" s="224"/>
      <c r="E1" s="224"/>
    </row>
    <row r="2" spans="1:5" ht="15" customHeight="1" x14ac:dyDescent="0.3">
      <c r="A2" s="167" t="s">
        <v>411</v>
      </c>
      <c r="B2" s="166" t="s">
        <v>412</v>
      </c>
      <c r="C2" s="167" t="s">
        <v>413</v>
      </c>
      <c r="D2" s="167" t="s">
        <v>414</v>
      </c>
      <c r="E2" s="167" t="s">
        <v>415</v>
      </c>
    </row>
    <row r="3" spans="1:5" ht="51.75" customHeight="1" x14ac:dyDescent="0.3">
      <c r="A3" s="20" t="s">
        <v>416</v>
      </c>
      <c r="B3" s="189" t="s">
        <v>417</v>
      </c>
      <c r="C3" s="209" t="s">
        <v>418</v>
      </c>
      <c r="D3" s="209" t="s">
        <v>419</v>
      </c>
      <c r="E3" s="210" t="s">
        <v>420</v>
      </c>
    </row>
    <row r="4" spans="1:5" ht="51.75" customHeight="1" x14ac:dyDescent="0.3">
      <c r="A4" s="20" t="s">
        <v>421</v>
      </c>
      <c r="B4" s="189" t="s">
        <v>422</v>
      </c>
      <c r="C4" s="209" t="s">
        <v>423</v>
      </c>
      <c r="D4" s="209" t="s">
        <v>424</v>
      </c>
      <c r="E4" s="210" t="s">
        <v>420</v>
      </c>
    </row>
    <row r="5" spans="1:5" ht="51.75" customHeight="1" x14ac:dyDescent="0.3">
      <c r="A5" s="20" t="s">
        <v>425</v>
      </c>
      <c r="B5" s="189" t="s">
        <v>426</v>
      </c>
      <c r="C5" s="209" t="s">
        <v>427</v>
      </c>
      <c r="D5" s="209" t="s">
        <v>428</v>
      </c>
      <c r="E5" s="211" t="s">
        <v>429</v>
      </c>
    </row>
    <row r="6" spans="1:5" ht="51.75" customHeight="1" x14ac:dyDescent="0.3">
      <c r="A6" s="20" t="s">
        <v>430</v>
      </c>
      <c r="B6" s="189" t="s">
        <v>431</v>
      </c>
      <c r="C6" s="209" t="s">
        <v>432</v>
      </c>
      <c r="D6" s="209" t="s">
        <v>433</v>
      </c>
      <c r="E6" s="211" t="s">
        <v>429</v>
      </c>
    </row>
    <row r="7" spans="1:5" ht="51.75" customHeight="1" x14ac:dyDescent="0.3">
      <c r="A7" s="20" t="s">
        <v>434</v>
      </c>
      <c r="B7" s="189" t="s">
        <v>435</v>
      </c>
      <c r="C7" s="209" t="s">
        <v>436</v>
      </c>
      <c r="D7" s="209" t="s">
        <v>437</v>
      </c>
      <c r="E7" s="212" t="s">
        <v>438</v>
      </c>
    </row>
    <row r="8" spans="1:5" ht="51.75" customHeight="1" x14ac:dyDescent="0.3">
      <c r="A8" s="20" t="s">
        <v>439</v>
      </c>
      <c r="B8" s="189" t="s">
        <v>440</v>
      </c>
      <c r="C8" s="209" t="s">
        <v>441</v>
      </c>
      <c r="D8" s="209" t="s">
        <v>442</v>
      </c>
      <c r="E8" s="212" t="s">
        <v>438</v>
      </c>
    </row>
    <row r="9" spans="1:5" ht="51.75" customHeight="1" x14ac:dyDescent="0.3">
      <c r="A9" s="20" t="s">
        <v>443</v>
      </c>
      <c r="B9" s="189" t="s">
        <v>444</v>
      </c>
      <c r="C9" s="209" t="s">
        <v>445</v>
      </c>
      <c r="D9" s="209" t="s">
        <v>446</v>
      </c>
      <c r="E9" s="212" t="s">
        <v>438</v>
      </c>
    </row>
    <row r="10" spans="1:5" ht="51.75" customHeight="1" x14ac:dyDescent="0.3">
      <c r="A10" s="20" t="s">
        <v>447</v>
      </c>
      <c r="B10" s="189" t="s">
        <v>448</v>
      </c>
      <c r="C10" s="209" t="s">
        <v>449</v>
      </c>
      <c r="D10" s="209" t="s">
        <v>450</v>
      </c>
      <c r="E10" s="212" t="s">
        <v>438</v>
      </c>
    </row>
    <row r="11" spans="1:5" ht="51.75" customHeight="1" x14ac:dyDescent="0.3">
      <c r="A11" s="20" t="s">
        <v>451</v>
      </c>
      <c r="B11" s="189" t="s">
        <v>452</v>
      </c>
      <c r="C11" s="209" t="s">
        <v>453</v>
      </c>
      <c r="D11" s="209" t="s">
        <v>454</v>
      </c>
      <c r="E11" s="212" t="s">
        <v>438</v>
      </c>
    </row>
    <row r="12" spans="1:5" ht="51.75" customHeight="1" x14ac:dyDescent="0.3">
      <c r="A12" s="20" t="s">
        <v>455</v>
      </c>
      <c r="B12" s="189" t="s">
        <v>456</v>
      </c>
      <c r="C12" s="209" t="s">
        <v>457</v>
      </c>
      <c r="D12" s="209" t="s">
        <v>458</v>
      </c>
      <c r="E12" s="213" t="s">
        <v>459</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7</vt:i4>
      </vt:variant>
      <vt:variant>
        <vt:lpstr>Plages nommées</vt:lpstr>
      </vt:variant>
      <vt:variant>
        <vt:i4>2</vt:i4>
      </vt:variant>
    </vt:vector>
  </HeadingPairs>
  <TitlesOfParts>
    <vt:vector size="9" baseType="lpstr">
      <vt:lpstr>Modèle Original</vt:lpstr>
      <vt:lpstr>Présentation Dossier</vt:lpstr>
      <vt:lpstr>Demande &amp; Cas Dégradé</vt:lpstr>
      <vt:lpstr>Modèle Amélioré</vt:lpstr>
      <vt:lpstr>Hypothèses</vt:lpstr>
      <vt:lpstr>Projections Cash Flow</vt:lpstr>
      <vt:lpstr>Pistes d'Amélioration</vt:lpstr>
      <vt:lpstr>'Demande &amp; Cas Dégradé'!Impression_des_titres</vt:lpstr>
      <vt:lpstr>'Présentation Dossier'!Impression_des_titres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marvin womblegnon</cp:lastModifiedBy>
  <cp:revision>0</cp:revision>
  <dcterms:created xsi:type="dcterms:W3CDTF">2026-06-10T23:01:24Z</dcterms:created>
  <dcterms:modified xsi:type="dcterms:W3CDTF">2026-06-10T23:59:44Z</dcterms:modified>
  <dc:language>en-US</dc:language>
</cp:coreProperties>
</file>